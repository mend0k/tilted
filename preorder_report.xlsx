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HD" sheetId="2" state="visible" r:id="rId2"/>
    <sheet name="GTS Distribution" sheetId="3" state="visible" r:id="rId3"/>
  </sheets>
  <definedNames>
    <definedName name="_xlnm._FilterDatabase" localSheetId="1" hidden="1">'PHD'!$A$1:$L$93</definedName>
    <definedName name="_xlnm._FilterDatabase" localSheetId="2" hidden="1">'GTS Distribution'!$A$1:$L$54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00838F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11" customWidth="1" min="5" max="5"/>
    <col width="12" customWidth="1" min="6" max="6"/>
    <col width="70" customWidth="1" min="7" max="7"/>
  </cols>
  <sheetData>
    <row r="1">
      <c r="A1" s="1" t="inlineStr">
        <is>
          <t>Distributor</t>
        </is>
      </c>
      <c r="B1" s="1" t="inlineStr">
        <is>
          <t>Status</t>
        </is>
      </c>
      <c r="C1" s="1" t="inlineStr">
        <is>
          <t>Items</t>
        </is>
      </c>
      <c r="D1" s="1" t="inlineStr">
        <is>
          <t>In Cart</t>
        </is>
      </c>
      <c r="E1" s="1" t="inlineStr">
        <is>
          <t>Total Qty</t>
        </is>
      </c>
      <c r="F1" s="1" t="inlineStr">
        <is>
          <t>Est. Cost</t>
        </is>
      </c>
      <c r="G1" s="1" t="inlineStr">
        <is>
          <t>Notes</t>
        </is>
      </c>
    </row>
    <row r="2">
      <c r="A2" s="2" t="inlineStr">
        <is>
          <t>PHD</t>
        </is>
      </c>
      <c r="B2" s="2" t="inlineStr">
        <is>
          <t>ok</t>
        </is>
      </c>
      <c r="C2" s="2" t="n">
        <v>92</v>
      </c>
      <c r="D2" s="2" t="n">
        <v>0</v>
      </c>
      <c r="E2" s="2" t="n">
        <v>276</v>
      </c>
      <c r="F2" s="3" t="n">
        <v>9552.15</v>
      </c>
      <c r="G2" s="2" t="inlineStr"/>
    </row>
    <row r="3">
      <c r="A3" s="2" t="inlineStr">
        <is>
          <t>GTS Distribution</t>
        </is>
      </c>
      <c r="B3" s="2" t="inlineStr">
        <is>
          <t>ok</t>
        </is>
      </c>
      <c r="C3" s="2" t="n">
        <v>53</v>
      </c>
      <c r="D3" s="2" t="n">
        <v>0</v>
      </c>
      <c r="E3" s="2" t="n">
        <v>159</v>
      </c>
      <c r="F3" s="3" t="n">
        <v>14665.35</v>
      </c>
      <c r="G3" s="2" t="inlineStr"/>
    </row>
    <row r="5">
      <c r="A5" s="4" t="inlineStr">
        <is>
          <t>Generated 08/09/2026 11:08 — Pre-Orders Due, Trading Card Games focus. Suggested Qty from order_rules.py (default 3). Enter what you actually put in the cart in the yellow 'Qty Added' column — it is preserved when the report is rebuilt.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4" customWidth="1" min="3" max="3"/>
    <col width="26" customWidth="1" min="4" max="4"/>
    <col width="10" customWidth="1" min="5" max="5"/>
    <col width="10" customWidth="1" min="6" max="6"/>
    <col width="13" customWidth="1" min="7" max="7"/>
    <col width="10" customWidth="1" min="8" max="8"/>
    <col width="12" customWidth="1" min="9" max="9"/>
    <col width="13" customWidth="1" min="10" max="10"/>
    <col width="14" customWidth="1" min="11" max="11"/>
    <col width="15" customWidth="1" min="12" max="12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Manufacturer</t>
        </is>
      </c>
      <c r="D1" s="1" t="inlineStr">
        <is>
          <t>Categories</t>
        </is>
      </c>
      <c r="E1" s="1" t="inlineStr">
        <is>
          <t>MSRP</t>
        </is>
      </c>
      <c r="F1" s="1" t="inlineStr">
        <is>
          <t>Price</t>
        </is>
      </c>
      <c r="G1" s="1" t="inlineStr">
        <is>
          <t>Suggested Qty</t>
        </is>
      </c>
      <c r="H1" s="1" t="inlineStr">
        <is>
          <t>Qty Added</t>
        </is>
      </c>
      <c r="I1" s="1" t="inlineStr">
        <is>
          <t>Line Total</t>
        </is>
      </c>
      <c r="J1" s="1" t="inlineStr">
        <is>
          <t>Release Date</t>
        </is>
      </c>
      <c r="K1" s="1" t="inlineStr">
        <is>
          <t>Pre-Order Date</t>
        </is>
      </c>
      <c r="L1" s="1" t="inlineStr">
        <is>
          <t>UPC</t>
        </is>
      </c>
    </row>
    <row r="2">
      <c r="A2" s="2" t="inlineStr">
        <is>
          <t>KTLMLPKPLH02</t>
        </is>
      </c>
      <c r="B2" s="2" t="inlineStr">
        <is>
          <t>My Little Pony TCG: Hearth's Warming Eve- Gift Box Bundle 02</t>
        </is>
      </c>
      <c r="C2" s="2" t="inlineStr">
        <is>
          <t>Kayou Trading Limited</t>
        </is>
      </c>
      <c r="D2" s="2" t="inlineStr">
        <is>
          <t>Trading Card Games</t>
        </is>
      </c>
      <c r="E2" s="3" t="n">
        <v>119.99</v>
      </c>
      <c r="F2" s="3" t="n">
        <v>46.75</v>
      </c>
      <c r="G2" s="2" t="n">
        <v>3</v>
      </c>
      <c r="H2" s="5" t="n"/>
      <c r="I2" s="3">
        <f>F2*IF(H2="",G2,H2)</f>
        <v/>
      </c>
      <c r="J2" s="2" t="inlineStr">
        <is>
          <t>10/30/2026</t>
        </is>
      </c>
      <c r="K2" s="2" t="inlineStr">
        <is>
          <t>08/11/2026</t>
        </is>
      </c>
      <c r="L2" s="2" t="inlineStr">
        <is>
          <t>6937187422704</t>
        </is>
      </c>
    </row>
    <row r="3">
      <c r="A3" s="2" t="inlineStr">
        <is>
          <t>BUSSVECBS04</t>
        </is>
      </c>
      <c r="B3" s="2" t="inlineStr">
        <is>
          <t>Shadowverse Evolve: Academy Royale &amp; Dusk of Calamity Combined Set Display (12 Packs)</t>
        </is>
      </c>
      <c r="C3" s="2" t="inlineStr">
        <is>
          <t>Bushiroad</t>
        </is>
      </c>
      <c r="D3" s="2" t="inlineStr">
        <is>
          <t>Trading Card Games</t>
        </is>
      </c>
      <c r="E3" s="3" t="n">
        <v>0</v>
      </c>
      <c r="F3" s="3" t="n">
        <v>43.25</v>
      </c>
      <c r="G3" s="2" t="n">
        <v>3</v>
      </c>
      <c r="H3" s="5" t="n"/>
      <c r="I3" s="3">
        <f>F3*IF(H3="",G3,H3)</f>
        <v/>
      </c>
      <c r="J3" s="2" t="inlineStr">
        <is>
          <t>11/20/2026</t>
        </is>
      </c>
      <c r="K3" s="2" t="inlineStr">
        <is>
          <t>08/12/2026</t>
        </is>
      </c>
      <c r="L3" s="2" t="inlineStr"/>
    </row>
    <row r="4">
      <c r="A4" s="2" t="inlineStr">
        <is>
          <t>BUSSVECBS04PTK</t>
        </is>
      </c>
      <c r="B4" s="2" t="inlineStr">
        <is>
          <t>Shadowverse Evolve: Academy Royale &amp; Dusk of Calamity Preview Trials Kit</t>
        </is>
      </c>
      <c r="C4" s="2" t="inlineStr">
        <is>
          <t>Bushiroad</t>
        </is>
      </c>
      <c r="D4" s="2" t="inlineStr">
        <is>
          <t>Organized Play, Trading Card Games</t>
        </is>
      </c>
      <c r="E4" s="3" t="n">
        <v>0</v>
      </c>
      <c r="F4" s="3" t="n">
        <v>160</v>
      </c>
      <c r="G4" s="2" t="n">
        <v>3</v>
      </c>
      <c r="H4" s="5" t="n"/>
      <c r="I4" s="3">
        <f>F4*IF(H4="",G4,H4)</f>
        <v/>
      </c>
      <c r="J4" s="2" t="inlineStr">
        <is>
          <t>11/13/2026</t>
        </is>
      </c>
      <c r="K4" s="2" t="inlineStr">
        <is>
          <t>08/12/2026</t>
        </is>
      </c>
      <c r="L4" s="2" t="inlineStr"/>
    </row>
    <row r="5">
      <c r="A5" s="2" t="inlineStr">
        <is>
          <t>BUSVGEDZTBP02</t>
        </is>
      </c>
      <c r="B5" s="2" t="inlineStr">
        <is>
          <t>Cardfight Vanguard: Persona 30th Anniversary Title Booster Premium Display (10 Packs)</t>
        </is>
      </c>
      <c r="C5" s="2" t="inlineStr">
        <is>
          <t>Bushiroad</t>
        </is>
      </c>
      <c r="D5" s="2" t="inlineStr">
        <is>
          <t>Trading Card Games</t>
        </is>
      </c>
      <c r="E5" s="3" t="n">
        <v>0</v>
      </c>
      <c r="F5" s="3" t="n">
        <v>58.25</v>
      </c>
      <c r="G5" s="2" t="n">
        <v>3</v>
      </c>
      <c r="H5" s="5" t="n"/>
      <c r="I5" s="3">
        <f>F5*IF(H5="",G5,H5)</f>
        <v/>
      </c>
      <c r="J5" s="2" t="inlineStr">
        <is>
          <t>12/11/2026</t>
        </is>
      </c>
      <c r="K5" s="2" t="inlineStr">
        <is>
          <t>08/12/2026</t>
        </is>
      </c>
      <c r="L5" s="2" t="inlineStr"/>
    </row>
    <row r="6">
      <c r="A6" s="2" t="inlineStr">
        <is>
          <t>BUSVGEDZTBP02SP</t>
        </is>
      </c>
      <c r="B6" s="2" t="inlineStr">
        <is>
          <t>Cardfight Vanguard: Persona 30th Anniversary Title Booster Premium Sneak Preview Kit</t>
        </is>
      </c>
      <c r="C6" s="2" t="inlineStr">
        <is>
          <t>Bushiroad</t>
        </is>
      </c>
      <c r="D6" s="2" t="inlineStr">
        <is>
          <t>Organized Play, Trading Card Games</t>
        </is>
      </c>
      <c r="E6" s="3" t="n">
        <v>0</v>
      </c>
      <c r="F6" s="3" t="n">
        <v>286.75</v>
      </c>
      <c r="G6" s="2" t="n">
        <v>3</v>
      </c>
      <c r="H6" s="5" t="n"/>
      <c r="I6" s="3">
        <f>F6*IF(H6="",G6,H6)</f>
        <v/>
      </c>
      <c r="J6" s="2" t="inlineStr">
        <is>
          <t>12/04/2026</t>
        </is>
      </c>
      <c r="K6" s="2" t="inlineStr">
        <is>
          <t>08/12/2026</t>
        </is>
      </c>
      <c r="L6" s="2" t="inlineStr"/>
    </row>
    <row r="7">
      <c r="A7" s="2" t="inlineStr">
        <is>
          <t>BUSWSBTSX08</t>
        </is>
      </c>
      <c r="B7" s="2" t="inlineStr">
        <is>
          <t>Weiss Schwarz: Forbidden Door Booster Display (10 Packs)</t>
        </is>
      </c>
      <c r="C7" s="2" t="inlineStr">
        <is>
          <t>Bushiroad</t>
        </is>
      </c>
      <c r="D7" s="2" t="inlineStr">
        <is>
          <t>Trading Card Games</t>
        </is>
      </c>
      <c r="E7" s="3" t="n">
        <v>0</v>
      </c>
      <c r="F7" s="3" t="n">
        <v>42</v>
      </c>
      <c r="G7" s="2" t="n">
        <v>3</v>
      </c>
      <c r="H7" s="5" t="n"/>
      <c r="I7" s="3">
        <f>F7*IF(H7="",G7,H7)</f>
        <v/>
      </c>
      <c r="J7" s="2" t="inlineStr">
        <is>
          <t>12/04/2026</t>
        </is>
      </c>
      <c r="K7" s="2" t="inlineStr">
        <is>
          <t>08/12/2026</t>
        </is>
      </c>
      <c r="L7" s="2" t="inlineStr"/>
    </row>
    <row r="8">
      <c r="A8" s="2" t="inlineStr">
        <is>
          <t>BUSWSTDFD1</t>
        </is>
      </c>
      <c r="B8" s="2" t="inlineStr">
        <is>
          <t>Weiss Schwarz: Forbidden Door 1 AEW Trial Deck</t>
        </is>
      </c>
      <c r="C8" s="2" t="inlineStr">
        <is>
          <t>Bushiroad</t>
        </is>
      </c>
      <c r="D8" s="2" t="inlineStr">
        <is>
          <t>Trading Card Games</t>
        </is>
      </c>
      <c r="E8" s="3" t="n">
        <v>0</v>
      </c>
      <c r="F8" s="3" t="n">
        <v>15</v>
      </c>
      <c r="G8" s="2" t="n">
        <v>3</v>
      </c>
      <c r="H8" s="5" t="n"/>
      <c r="I8" s="3">
        <f>F8*IF(H8="",G8,H8)</f>
        <v/>
      </c>
      <c r="J8" s="2" t="inlineStr">
        <is>
          <t>12/04/2026</t>
        </is>
      </c>
      <c r="K8" s="2" t="inlineStr">
        <is>
          <t>08/12/2026</t>
        </is>
      </c>
      <c r="L8" s="2" t="inlineStr"/>
    </row>
    <row r="9">
      <c r="A9" s="2" t="inlineStr">
        <is>
          <t>BUSWSTDFD2</t>
        </is>
      </c>
      <c r="B9" s="2" t="inlineStr">
        <is>
          <t>Weiss Schwarz: Forbidden Door 2 NJPW Trial Deck</t>
        </is>
      </c>
      <c r="C9" s="2" t="inlineStr">
        <is>
          <t>Bushiroad</t>
        </is>
      </c>
      <c r="D9" s="2" t="inlineStr">
        <is>
          <t>Trading Card Games</t>
        </is>
      </c>
      <c r="E9" s="3" t="n">
        <v>0</v>
      </c>
      <c r="F9" s="3" t="n">
        <v>15</v>
      </c>
      <c r="G9" s="2" t="n">
        <v>3</v>
      </c>
      <c r="H9" s="5" t="n"/>
      <c r="I9" s="3">
        <f>F9*IF(H9="",G9,H9)</f>
        <v/>
      </c>
      <c r="J9" s="2" t="inlineStr">
        <is>
          <t>12/04/2026</t>
        </is>
      </c>
      <c r="K9" s="2" t="inlineStr">
        <is>
          <t>08/12/2026</t>
        </is>
      </c>
      <c r="L9" s="2" t="inlineStr"/>
    </row>
    <row r="10">
      <c r="A10" s="2" t="inlineStr">
        <is>
          <t>MSGCA002D</t>
        </is>
      </c>
      <c r="B10" s="2" t="inlineStr">
        <is>
          <t>Cataclysm Arcade TCG: Crawling from the Wreckage Booster Display (24 packs)</t>
        </is>
      </c>
      <c r="C10" s="2" t="inlineStr">
        <is>
          <t>Mothership Games</t>
        </is>
      </c>
      <c r="D10" s="2" t="inlineStr">
        <is>
          <t>Trading Card Games</t>
        </is>
      </c>
      <c r="E10" s="3" t="n">
        <v>167.76</v>
      </c>
      <c r="F10" s="3" t="n">
        <v>83.90000000000001</v>
      </c>
      <c r="G10" s="2" t="n">
        <v>3</v>
      </c>
      <c r="H10" s="5" t="n"/>
      <c r="I10" s="3">
        <f>F10*IF(H10="",G10,H10)</f>
        <v/>
      </c>
      <c r="J10" s="2" t="inlineStr">
        <is>
          <t>10/01/2026</t>
        </is>
      </c>
      <c r="K10" s="2" t="inlineStr">
        <is>
          <t>08/13/2026</t>
        </is>
      </c>
      <c r="L10" s="2" t="inlineStr">
        <is>
          <t>860015621641</t>
        </is>
      </c>
    </row>
    <row r="11">
      <c r="A11" s="2" t="inlineStr">
        <is>
          <t>SQE092026</t>
        </is>
      </c>
      <c r="B11" s="2" t="inlineStr">
        <is>
          <t>Final Fantasy TCG: Organized Play Kit- PR-230 Yuna (September 2026)</t>
        </is>
      </c>
      <c r="C11" s="2" t="inlineStr">
        <is>
          <t>Square Enix</t>
        </is>
      </c>
      <c r="D11" s="2" t="inlineStr">
        <is>
          <t>Organized Play, Trading Card Games</t>
        </is>
      </c>
      <c r="E11" s="3" t="n">
        <v>0</v>
      </c>
      <c r="F11" s="3" t="n">
        <v>3.35</v>
      </c>
      <c r="G11" s="2" t="n">
        <v>3</v>
      </c>
      <c r="H11" s="5" t="n"/>
      <c r="I11" s="3">
        <f>F11*IF(H11="",G11,H11)</f>
        <v/>
      </c>
      <c r="J11" s="2" t="inlineStr">
        <is>
          <t>09/01/2026</t>
        </is>
      </c>
      <c r="K11" s="2" t="inlineStr">
        <is>
          <t>08/13/2026</t>
        </is>
      </c>
      <c r="L11" s="2" t="inlineStr">
        <is>
          <t>6 62248 86448 8</t>
        </is>
      </c>
    </row>
    <row r="12">
      <c r="A12" s="2" t="inlineStr">
        <is>
          <t>UVSRB05AS01</t>
        </is>
      </c>
      <c r="B12" s="2" t="inlineStr">
        <is>
          <t>Card Sleeves: Riftbound- Radiance- Art Sleeve #1 (100ct)</t>
        </is>
      </c>
      <c r="C12" s="2" t="inlineStr">
        <is>
          <t>UVS Games</t>
        </is>
      </c>
      <c r="D12" s="2" t="inlineStr">
        <is>
          <t>Supplies, Trading Card Games</t>
        </is>
      </c>
      <c r="E12" s="3" t="n">
        <v>16.99</v>
      </c>
      <c r="F12" s="3" t="n">
        <v>9.75</v>
      </c>
      <c r="G12" s="2" t="n">
        <v>3</v>
      </c>
      <c r="H12" s="5" t="n"/>
      <c r="I12" s="3">
        <f>F12*IF(H12="",G12,H12)</f>
        <v/>
      </c>
      <c r="J12" s="2" t="inlineStr">
        <is>
          <t>10/23/2026</t>
        </is>
      </c>
      <c r="K12" s="2" t="inlineStr">
        <is>
          <t>08/13/2026</t>
        </is>
      </c>
      <c r="L12" s="2" t="inlineStr">
        <is>
          <t>810155276430</t>
        </is>
      </c>
    </row>
    <row r="13">
      <c r="A13" s="2" t="inlineStr">
        <is>
          <t>UVSRB05AS02</t>
        </is>
      </c>
      <c r="B13" s="2" t="inlineStr">
        <is>
          <t>Card Sleeves: Riftbound- Radiance- Art Sleeve #2 (100ct)</t>
        </is>
      </c>
      <c r="C13" s="2" t="inlineStr">
        <is>
          <t>UVS Games</t>
        </is>
      </c>
      <c r="D13" s="2" t="inlineStr">
        <is>
          <t>Supplies, Trading Card Games</t>
        </is>
      </c>
      <c r="E13" s="3" t="n">
        <v>16.99</v>
      </c>
      <c r="F13" s="3" t="n">
        <v>9.75</v>
      </c>
      <c r="G13" s="2" t="n">
        <v>3</v>
      </c>
      <c r="H13" s="5" t="n"/>
      <c r="I13" s="3">
        <f>F13*IF(H13="",G13,H13)</f>
        <v/>
      </c>
      <c r="J13" s="2" t="inlineStr">
        <is>
          <t>10/23/2026</t>
        </is>
      </c>
      <c r="K13" s="2" t="inlineStr">
        <is>
          <t>08/13/2026</t>
        </is>
      </c>
      <c r="L13" s="2" t="inlineStr">
        <is>
          <t>810155276447</t>
        </is>
      </c>
    </row>
    <row r="14">
      <c r="A14" s="2" t="inlineStr">
        <is>
          <t>UVSRB05AS03</t>
        </is>
      </c>
      <c r="B14" s="2" t="inlineStr">
        <is>
          <t>Card Sleeves: Riftbound- Radiance- Art Sleeve #3 (100ct)</t>
        </is>
      </c>
      <c r="C14" s="2" t="inlineStr">
        <is>
          <t>UVS Games</t>
        </is>
      </c>
      <c r="D14" s="2" t="inlineStr">
        <is>
          <t>Supplies, Trading Card Games</t>
        </is>
      </c>
      <c r="E14" s="3" t="n">
        <v>16.99</v>
      </c>
      <c r="F14" s="3" t="n">
        <v>9.75</v>
      </c>
      <c r="G14" s="2" t="n">
        <v>3</v>
      </c>
      <c r="H14" s="5" t="n"/>
      <c r="I14" s="3">
        <f>F14*IF(H14="",G14,H14)</f>
        <v/>
      </c>
      <c r="J14" s="2" t="inlineStr">
        <is>
          <t>10/23/2026</t>
        </is>
      </c>
      <c r="K14" s="2" t="inlineStr">
        <is>
          <t>08/13/2026</t>
        </is>
      </c>
      <c r="L14" s="2" t="inlineStr">
        <is>
          <t>810155276454</t>
        </is>
      </c>
    </row>
    <row r="15">
      <c r="A15" s="2" t="inlineStr">
        <is>
          <t>UVSRB05AS04</t>
        </is>
      </c>
      <c r="B15" s="2" t="inlineStr">
        <is>
          <t>Card Sleeves: Riftbound- Radiance- Art Sleeve #4 (100ct)</t>
        </is>
      </c>
      <c r="C15" s="2" t="inlineStr">
        <is>
          <t>UVS Games</t>
        </is>
      </c>
      <c r="D15" s="2" t="inlineStr">
        <is>
          <t>Supplies, Trading Card Games</t>
        </is>
      </c>
      <c r="E15" s="3" t="n">
        <v>16.99</v>
      </c>
      <c r="F15" s="3" t="n">
        <v>9.75</v>
      </c>
      <c r="G15" s="2" t="n">
        <v>3</v>
      </c>
      <c r="H15" s="5" t="n"/>
      <c r="I15" s="3">
        <f>F15*IF(H15="",G15,H15)</f>
        <v/>
      </c>
      <c r="J15" s="2" t="inlineStr">
        <is>
          <t>10/23/2026</t>
        </is>
      </c>
      <c r="K15" s="2" t="inlineStr">
        <is>
          <t>08/13/2026</t>
        </is>
      </c>
      <c r="L15" s="2" t="inlineStr">
        <is>
          <t>810155276461</t>
        </is>
      </c>
    </row>
    <row r="16">
      <c r="A16" s="2" t="inlineStr">
        <is>
          <t>UVSRB05BD01</t>
        </is>
      </c>
      <c r="B16" s="2" t="inlineStr">
        <is>
          <t>Riftbound TCG: Set 05- Radiance- Booster Display (24 Packs)</t>
        </is>
      </c>
      <c r="C16" s="2" t="inlineStr">
        <is>
          <t>UVS Games</t>
        </is>
      </c>
      <c r="D16" s="2" t="inlineStr">
        <is>
          <t>Trading Card Games</t>
        </is>
      </c>
      <c r="E16" s="3" t="n">
        <v>120</v>
      </c>
      <c r="F16" s="3" t="n">
        <v>70.75</v>
      </c>
      <c r="G16" s="2" t="n">
        <v>3</v>
      </c>
      <c r="H16" s="5" t="n"/>
      <c r="I16" s="3">
        <f>F16*IF(H16="",G16,H16)</f>
        <v/>
      </c>
      <c r="J16" s="2" t="inlineStr">
        <is>
          <t>10/23/2026</t>
        </is>
      </c>
      <c r="K16" s="2" t="inlineStr">
        <is>
          <t>08/13/2026</t>
        </is>
      </c>
      <c r="L16" s="2" t="inlineStr">
        <is>
          <t>810155276201</t>
        </is>
      </c>
    </row>
    <row r="17">
      <c r="A17" s="2" t="inlineStr">
        <is>
          <t>UVSRB05PM01</t>
        </is>
      </c>
      <c r="B17" s="2" t="inlineStr">
        <is>
          <t>Playmat: Riftbound- Radiance- Playmat #1</t>
        </is>
      </c>
      <c r="C17" s="2" t="inlineStr">
        <is>
          <t>UVS Games</t>
        </is>
      </c>
      <c r="D17" s="2" t="inlineStr">
        <is>
          <t>Supplies, Trading Card Games</t>
        </is>
      </c>
      <c r="E17" s="3" t="n">
        <v>27.99</v>
      </c>
      <c r="F17" s="3" t="n">
        <v>16.1</v>
      </c>
      <c r="G17" s="2" t="n">
        <v>3</v>
      </c>
      <c r="H17" s="5" t="n"/>
      <c r="I17" s="3">
        <f>F17*IF(H17="",G17,H17)</f>
        <v/>
      </c>
      <c r="J17" s="2" t="inlineStr">
        <is>
          <t>10/23/2026</t>
        </is>
      </c>
      <c r="K17" s="2" t="inlineStr">
        <is>
          <t>08/13/2026</t>
        </is>
      </c>
      <c r="L17" s="2" t="inlineStr">
        <is>
          <t>810155276355</t>
        </is>
      </c>
    </row>
    <row r="18">
      <c r="A18" s="2" t="inlineStr">
        <is>
          <t>UVSRB05PM02</t>
        </is>
      </c>
      <c r="B18" s="2" t="inlineStr">
        <is>
          <t>Playmat: Riftbound- Radiance- Playmat #2</t>
        </is>
      </c>
      <c r="C18" s="2" t="inlineStr">
        <is>
          <t>UVS Games</t>
        </is>
      </c>
      <c r="D18" s="2" t="inlineStr">
        <is>
          <t>Supplies, Trading Card Games</t>
        </is>
      </c>
      <c r="E18" s="3" t="n">
        <v>27.99</v>
      </c>
      <c r="F18" s="3" t="n">
        <v>16.1</v>
      </c>
      <c r="G18" s="2" t="n">
        <v>3</v>
      </c>
      <c r="H18" s="5" t="n"/>
      <c r="I18" s="3">
        <f>F18*IF(H18="",G18,H18)</f>
        <v/>
      </c>
      <c r="J18" s="2" t="inlineStr">
        <is>
          <t>10/23/2026</t>
        </is>
      </c>
      <c r="K18" s="2" t="inlineStr">
        <is>
          <t>08/13/2026</t>
        </is>
      </c>
      <c r="L18" s="2" t="inlineStr">
        <is>
          <t>810155276362</t>
        </is>
      </c>
    </row>
    <row r="19">
      <c r="A19" s="2" t="inlineStr">
        <is>
          <t>UVSRB05PM03</t>
        </is>
      </c>
      <c r="B19" s="2" t="inlineStr">
        <is>
          <t>Playmat: Riftbound- Radiance- Playmat #3</t>
        </is>
      </c>
      <c r="C19" s="2" t="inlineStr">
        <is>
          <t>UVS Games</t>
        </is>
      </c>
      <c r="D19" s="2" t="inlineStr">
        <is>
          <t>Supplies, Trading Card Games</t>
        </is>
      </c>
      <c r="E19" s="3" t="n">
        <v>27.99</v>
      </c>
      <c r="F19" s="3" t="n">
        <v>16.1</v>
      </c>
      <c r="G19" s="2" t="n">
        <v>3</v>
      </c>
      <c r="H19" s="5" t="n"/>
      <c r="I19" s="3">
        <f>F19*IF(H19="",G19,H19)</f>
        <v/>
      </c>
      <c r="J19" s="2" t="inlineStr">
        <is>
          <t>10/23/2026</t>
        </is>
      </c>
      <c r="K19" s="2" t="inlineStr">
        <is>
          <t>08/13/2026</t>
        </is>
      </c>
      <c r="L19" s="2" t="inlineStr">
        <is>
          <t>810155276379</t>
        </is>
      </c>
    </row>
    <row r="20">
      <c r="A20" s="2" t="inlineStr">
        <is>
          <t>UVSRB05PM04</t>
        </is>
      </c>
      <c r="B20" s="2" t="inlineStr">
        <is>
          <t>Playmat: Riftbound- Radiance- Playmat #4</t>
        </is>
      </c>
      <c r="C20" s="2" t="inlineStr">
        <is>
          <t>UVS Games</t>
        </is>
      </c>
      <c r="D20" s="2" t="inlineStr">
        <is>
          <t>Supplies, Trading Card Games</t>
        </is>
      </c>
      <c r="E20" s="3" t="n">
        <v>27.99</v>
      </c>
      <c r="F20" s="3" t="n">
        <v>16.1</v>
      </c>
      <c r="G20" s="2" t="n">
        <v>3</v>
      </c>
      <c r="H20" s="5" t="n"/>
      <c r="I20" s="3">
        <f>F20*IF(H20="",G20,H20)</f>
        <v/>
      </c>
      <c r="J20" s="2" t="inlineStr">
        <is>
          <t>10/23/2026</t>
        </is>
      </c>
      <c r="K20" s="2" t="inlineStr">
        <is>
          <t>08/13/2026</t>
        </is>
      </c>
      <c r="L20" s="2" t="inlineStr">
        <is>
          <t>810155276386</t>
        </is>
      </c>
    </row>
    <row r="21">
      <c r="A21" s="2" t="inlineStr">
        <is>
          <t>UVSRB05RK01</t>
        </is>
      </c>
      <c r="B21" s="2" t="inlineStr">
        <is>
          <t>Riftbound TCG: Set 05- Radiance- Pre-Rift Event Kit</t>
        </is>
      </c>
      <c r="C21" s="2" t="inlineStr">
        <is>
          <t>UVS Games</t>
        </is>
      </c>
      <c r="D21" s="2" t="inlineStr">
        <is>
          <t>Organized Play, Trading Card Games</t>
        </is>
      </c>
      <c r="E21" s="3" t="n">
        <v>480</v>
      </c>
      <c r="F21" s="3" t="n">
        <v>275.25</v>
      </c>
      <c r="G21" s="2" t="n">
        <v>3</v>
      </c>
      <c r="H21" s="5" t="n"/>
      <c r="I21" s="3">
        <f>F21*IF(H21="",G21,H21)</f>
        <v/>
      </c>
      <c r="J21" s="2" t="inlineStr">
        <is>
          <t>10/16/2026</t>
        </is>
      </c>
      <c r="K21" s="2" t="inlineStr">
        <is>
          <t>08/13/2026</t>
        </is>
      </c>
      <c r="L21" s="2" t="inlineStr">
        <is>
          <t>810155276300</t>
        </is>
      </c>
    </row>
    <row r="22">
      <c r="A22" s="2" t="inlineStr">
        <is>
          <t>UVSRB05SD01</t>
        </is>
      </c>
      <c r="B22" s="2" t="inlineStr">
        <is>
          <t>Riftbound TCG: Set 05- Radiance- Showdown Deck Display- Evelynn vs Seraphine (4 Decks)</t>
        </is>
      </c>
      <c r="C22" s="2" t="inlineStr">
        <is>
          <t>UVS Games</t>
        </is>
      </c>
      <c r="D22" s="2" t="inlineStr">
        <is>
          <t>Trading Card Games</t>
        </is>
      </c>
      <c r="E22" s="3" t="n">
        <v>139.96</v>
      </c>
      <c r="F22" s="3" t="n">
        <v>80.5</v>
      </c>
      <c r="G22" s="2" t="n">
        <v>3</v>
      </c>
      <c r="H22" s="5" t="n"/>
      <c r="I22" s="3">
        <f>F22*IF(H22="",G22,H22)</f>
        <v/>
      </c>
      <c r="J22" s="2" t="inlineStr">
        <is>
          <t>10/23/2026</t>
        </is>
      </c>
      <c r="K22" s="2" t="inlineStr">
        <is>
          <t>08/13/2026</t>
        </is>
      </c>
      <c r="L22" s="2" t="inlineStr">
        <is>
          <t>810155276263</t>
        </is>
      </c>
    </row>
    <row r="23">
      <c r="A23" s="2" t="inlineStr">
        <is>
          <t>UVSRB05VB01</t>
        </is>
      </c>
      <c r="B23" s="2" t="inlineStr">
        <is>
          <t>Riftbound TCG: Set 05- Radiance- Vault Bundle</t>
        </is>
      </c>
      <c r="C23" s="2" t="inlineStr">
        <is>
          <t>UVS Games</t>
        </is>
      </c>
      <c r="D23" s="2" t="inlineStr">
        <is>
          <t>Trading Card Games</t>
        </is>
      </c>
      <c r="E23" s="3" t="n">
        <v>34.99</v>
      </c>
      <c r="F23" s="3" t="n">
        <v>20.15</v>
      </c>
      <c r="G23" s="2" t="n">
        <v>3</v>
      </c>
      <c r="H23" s="5" t="n"/>
      <c r="I23" s="3">
        <f>F23*IF(H23="",G23,H23)</f>
        <v/>
      </c>
      <c r="J23" s="2" t="inlineStr">
        <is>
          <t>10/23/2026</t>
        </is>
      </c>
      <c r="K23" s="2" t="inlineStr">
        <is>
          <t>08/13/2026</t>
        </is>
      </c>
      <c r="L23" s="2" t="inlineStr">
        <is>
          <t>810155276287</t>
        </is>
      </c>
    </row>
    <row r="24">
      <c r="A24" s="2" t="inlineStr">
        <is>
          <t>UVSRB05ZP01</t>
        </is>
      </c>
      <c r="B24" s="2" t="inlineStr">
        <is>
          <t>Binder: 9-Pocket Collector's Riftbound- Radiance</t>
        </is>
      </c>
      <c r="C24" s="2" t="inlineStr">
        <is>
          <t>UVS Games</t>
        </is>
      </c>
      <c r="D24" s="2" t="inlineStr">
        <is>
          <t>Supplies, Trading Card Games</t>
        </is>
      </c>
      <c r="E24" s="3" t="n">
        <v>39.99</v>
      </c>
      <c r="F24" s="3" t="n">
        <v>22.95</v>
      </c>
      <c r="G24" s="2" t="n">
        <v>3</v>
      </c>
      <c r="H24" s="5" t="n"/>
      <c r="I24" s="3">
        <f>F24*IF(H24="",G24,H24)</f>
        <v/>
      </c>
      <c r="J24" s="2" t="inlineStr">
        <is>
          <t>10/23/2026</t>
        </is>
      </c>
      <c r="K24" s="2" t="inlineStr">
        <is>
          <t>08/13/2026</t>
        </is>
      </c>
      <c r="L24" s="2" t="inlineStr">
        <is>
          <t>810155276812</t>
        </is>
      </c>
    </row>
    <row r="25">
      <c r="A25" s="2" t="inlineStr">
        <is>
          <t>BAN2872977</t>
        </is>
      </c>
      <c r="B25" s="2" t="inlineStr">
        <is>
          <t>DBS TCG Masters: Ultra Bout #6 Overdrive Booster Pack Display [UB6][DBS-B33] (20 Packs)</t>
        </is>
      </c>
      <c r="C25" s="2" t="inlineStr">
        <is>
          <t>Bandai</t>
        </is>
      </c>
      <c r="D25" s="2" t="inlineStr">
        <is>
          <t>Trading Card Games</t>
        </is>
      </c>
      <c r="E25" s="3" t="n">
        <v>119.8</v>
      </c>
      <c r="F25" s="3" t="n">
        <v>71.75</v>
      </c>
      <c r="G25" s="2" t="n">
        <v>3</v>
      </c>
      <c r="H25" s="5" t="n"/>
      <c r="I25" s="3">
        <f>F25*IF(H25="",G25,H25)</f>
        <v/>
      </c>
      <c r="J25" s="2" t="inlineStr">
        <is>
          <t>02/19/2027</t>
        </is>
      </c>
      <c r="K25" s="2" t="inlineStr">
        <is>
          <t>08/14/2026</t>
        </is>
      </c>
      <c r="L25" s="2" t="inlineStr">
        <is>
          <t>810199503684</t>
        </is>
      </c>
    </row>
    <row r="26">
      <c r="A26" s="2" t="inlineStr">
        <is>
          <t>BAN2890424</t>
        </is>
      </c>
      <c r="B26" s="2" t="inlineStr">
        <is>
          <t>DBS TCG Fusion World: Set 13- Booster Pack Display [FB13] (24 Packs)</t>
        </is>
      </c>
      <c r="C26" s="2" t="inlineStr">
        <is>
          <t>Bandai</t>
        </is>
      </c>
      <c r="D26" s="2" t="inlineStr">
        <is>
          <t>Trading Card Games</t>
        </is>
      </c>
      <c r="E26" s="3" t="n">
        <v>119.76</v>
      </c>
      <c r="F26" s="3" t="n">
        <v>71.75</v>
      </c>
      <c r="G26" s="2" t="n">
        <v>3</v>
      </c>
      <c r="H26" s="5" t="n"/>
      <c r="I26" s="3">
        <f>F26*IF(H26="",G26,H26)</f>
        <v/>
      </c>
      <c r="J26" s="2" t="inlineStr">
        <is>
          <t>03/12/2027</t>
        </is>
      </c>
      <c r="K26" s="2" t="inlineStr">
        <is>
          <t>08/14/2026</t>
        </is>
      </c>
      <c r="L26" s="2" t="inlineStr">
        <is>
          <t>810199506111</t>
        </is>
      </c>
    </row>
    <row r="27">
      <c r="A27" s="2" t="inlineStr">
        <is>
          <t>KTLMLPKPNLQH004B</t>
        </is>
      </c>
      <c r="B27" s="2" t="inlineStr">
        <is>
          <t>My Little Pony TCG: Hearth's Warming Eve- Display (20 packs)</t>
        </is>
      </c>
      <c r="C27" s="2" t="inlineStr">
        <is>
          <t>Kayou Trading Limited</t>
        </is>
      </c>
      <c r="D27" s="2" t="inlineStr">
        <is>
          <t>Trading Card Games</t>
        </is>
      </c>
      <c r="E27" s="3" t="n">
        <v>59.8</v>
      </c>
      <c r="F27" s="3" t="n">
        <v>32.3</v>
      </c>
      <c r="G27" s="2" t="n">
        <v>3</v>
      </c>
      <c r="H27" s="5" t="n"/>
      <c r="I27" s="3">
        <f>F27*IF(H27="",G27,H27)</f>
        <v/>
      </c>
      <c r="J27" s="2" t="inlineStr">
        <is>
          <t>10/30/2026</t>
        </is>
      </c>
      <c r="K27" s="2" t="inlineStr">
        <is>
          <t>08/15/2026</t>
        </is>
      </c>
      <c r="L27" s="2" t="inlineStr">
        <is>
          <t>6937187417885</t>
        </is>
      </c>
    </row>
    <row r="28">
      <c r="A28" s="2" t="inlineStr">
        <is>
          <t>KTLMLPKPNLQH004BBD01</t>
        </is>
      </c>
      <c r="B28" s="2" t="inlineStr">
        <is>
          <t>My Little Pony TCG: Hearth's Warming Eve- Collector Box (10 packs)</t>
        </is>
      </c>
      <c r="C28" s="2" t="inlineStr">
        <is>
          <t>Kayou Trading Limited</t>
        </is>
      </c>
      <c r="D28" s="2" t="inlineStr">
        <is>
          <t>Trading Card Games</t>
        </is>
      </c>
      <c r="E28" s="3" t="n">
        <v>29.99</v>
      </c>
      <c r="F28" s="3" t="n">
        <v>16.2</v>
      </c>
      <c r="G28" s="2" t="n">
        <v>3</v>
      </c>
      <c r="H28" s="5" t="n"/>
      <c r="I28" s="3">
        <f>F28*IF(H28="",G28,H28)</f>
        <v/>
      </c>
      <c r="J28" s="2" t="inlineStr">
        <is>
          <t>10/30/2026</t>
        </is>
      </c>
      <c r="K28" s="2" t="inlineStr">
        <is>
          <t>08/15/2026</t>
        </is>
      </c>
      <c r="L28" s="2" t="inlineStr">
        <is>
          <t>6937187418097</t>
        </is>
      </c>
    </row>
    <row r="29">
      <c r="A29" s="2" t="inlineStr">
        <is>
          <t>KTLMLPKPNLQH004BBD02</t>
        </is>
      </c>
      <c r="B29" s="2" t="inlineStr">
        <is>
          <t>My Little Pony TCG: Hearth's Warming Eve- Bundle- BD02</t>
        </is>
      </c>
      <c r="C29" s="2" t="inlineStr">
        <is>
          <t>Kayou Trading Limited</t>
        </is>
      </c>
      <c r="D29" s="2" t="inlineStr">
        <is>
          <t>Trading Card Games</t>
        </is>
      </c>
      <c r="E29" s="3" t="n">
        <v>59.99</v>
      </c>
      <c r="F29" s="3" t="n">
        <v>32.35</v>
      </c>
      <c r="G29" s="2" t="n">
        <v>3</v>
      </c>
      <c r="H29" s="5" t="n"/>
      <c r="I29" s="3">
        <f>F29*IF(H29="",G29,H29)</f>
        <v/>
      </c>
      <c r="J29" s="2" t="inlineStr">
        <is>
          <t>10/30/2026</t>
        </is>
      </c>
      <c r="K29" s="2" t="inlineStr">
        <is>
          <t>08/15/2026</t>
        </is>
      </c>
      <c r="L29" s="2" t="inlineStr">
        <is>
          <t>6937187419742</t>
        </is>
      </c>
    </row>
    <row r="30">
      <c r="A30" s="2" t="inlineStr">
        <is>
          <t>KTLMLPKPNLQH004BCP</t>
        </is>
      </c>
      <c r="B30" s="2" t="inlineStr">
        <is>
          <t>My Little Pony TCG: Hearth's Warming Eve- Collector Box (5 packs)</t>
        </is>
      </c>
      <c r="C30" s="2" t="inlineStr">
        <is>
          <t>Kayou Trading Limited</t>
        </is>
      </c>
      <c r="D30" s="2" t="inlineStr">
        <is>
          <t>Trading Card Games</t>
        </is>
      </c>
      <c r="E30" s="3" t="n">
        <v>14.99</v>
      </c>
      <c r="F30" s="3" t="n">
        <v>8.1</v>
      </c>
      <c r="G30" s="2" t="n">
        <v>3</v>
      </c>
      <c r="H30" s="5" t="n"/>
      <c r="I30" s="3">
        <f>F30*IF(H30="",G30,H30)</f>
        <v/>
      </c>
      <c r="J30" s="2" t="inlineStr">
        <is>
          <t>10/30/2026</t>
        </is>
      </c>
      <c r="K30" s="2" t="inlineStr">
        <is>
          <t>08/15/2026</t>
        </is>
      </c>
      <c r="L30" s="2" t="inlineStr">
        <is>
          <t>6937187418073</t>
        </is>
      </c>
    </row>
    <row r="31">
      <c r="A31" s="2" t="inlineStr">
        <is>
          <t>RAV13000002</t>
        </is>
      </c>
      <c r="B31" s="2" t="inlineStr">
        <is>
          <t>Disney Lorcana: Illumineer's Lorebook- Quest of Wonders</t>
        </is>
      </c>
      <c r="C31" s="2" t="inlineStr">
        <is>
          <t>Ravensburger</t>
        </is>
      </c>
      <c r="D31" s="2" t="inlineStr">
        <is>
          <t>Trading Card Games</t>
        </is>
      </c>
      <c r="E31" s="3" t="n">
        <v>39.99</v>
      </c>
      <c r="F31" s="3" t="n">
        <v>23</v>
      </c>
      <c r="G31" s="2" t="n">
        <v>3</v>
      </c>
      <c r="H31" s="5" t="n"/>
      <c r="I31" s="3">
        <f>F31*IF(H31="",G31,H31)</f>
        <v/>
      </c>
      <c r="J31" s="2" t="inlineStr">
        <is>
          <t>09/01/2026</t>
        </is>
      </c>
      <c r="K31" s="2" t="inlineStr">
        <is>
          <t>08/18/2026</t>
        </is>
      </c>
      <c r="L31" s="2" t="inlineStr">
        <is>
          <t>9783380000020</t>
        </is>
      </c>
    </row>
    <row r="32">
      <c r="A32" s="2" t="inlineStr">
        <is>
          <t>BUSGZCGBP05</t>
        </is>
      </c>
      <c r="B32" s="2" t="inlineStr">
        <is>
          <t>Godzilla Card Game: Booster Set #5 Godzilla Minus Zero Booster Display (12 Packs)</t>
        </is>
      </c>
      <c r="C32" s="2" t="inlineStr">
        <is>
          <t>Bushiroad</t>
        </is>
      </c>
      <c r="D32" s="2" t="inlineStr">
        <is>
          <t>Trading Card Games</t>
        </is>
      </c>
      <c r="E32" s="3" t="n">
        <v>0</v>
      </c>
      <c r="F32" s="3" t="n">
        <v>45.25</v>
      </c>
      <c r="G32" s="2" t="n">
        <v>3</v>
      </c>
      <c r="H32" s="5" t="n"/>
      <c r="I32" s="3">
        <f>F32*IF(H32="",G32,H32)</f>
        <v/>
      </c>
      <c r="J32" s="2" t="inlineStr">
        <is>
          <t>12/01/2026</t>
        </is>
      </c>
      <c r="K32" s="2" t="inlineStr">
        <is>
          <t>08/19/2026</t>
        </is>
      </c>
      <c r="L32" s="2" t="inlineStr"/>
    </row>
    <row r="33">
      <c r="A33" s="2" t="inlineStr">
        <is>
          <t>BUSGZCGSD03</t>
        </is>
      </c>
      <c r="B33" s="2" t="inlineStr">
        <is>
          <t>Godzilla Card Game: Battle Begins! Starter Deck (Godzilla • Red)</t>
        </is>
      </c>
      <c r="C33" s="2" t="inlineStr">
        <is>
          <t>Bushiroad</t>
        </is>
      </c>
      <c r="D33" s="2" t="inlineStr">
        <is>
          <t>Trading Card Games</t>
        </is>
      </c>
      <c r="E33" s="3" t="n">
        <v>0</v>
      </c>
      <c r="F33" s="3" t="n">
        <v>12.75</v>
      </c>
      <c r="G33" s="2" t="n">
        <v>3</v>
      </c>
      <c r="H33" s="5" t="n"/>
      <c r="I33" s="3">
        <f>F33*IF(H33="",G33,H33)</f>
        <v/>
      </c>
      <c r="J33" s="2" t="inlineStr">
        <is>
          <t>12/01/2026</t>
        </is>
      </c>
      <c r="K33" s="2" t="inlineStr">
        <is>
          <t>08/19/2026</t>
        </is>
      </c>
      <c r="L33" s="2" t="inlineStr"/>
    </row>
    <row r="34">
      <c r="A34" s="2" t="inlineStr">
        <is>
          <t>BUSGZCGSD04</t>
        </is>
      </c>
      <c r="B34" s="2" t="inlineStr">
        <is>
          <t>Godzilla Card Game: Battle Begins! Starter Deck (Destoroyah • Blue)</t>
        </is>
      </c>
      <c r="C34" s="2" t="inlineStr">
        <is>
          <t>Bushiroad</t>
        </is>
      </c>
      <c r="D34" s="2" t="inlineStr">
        <is>
          <t>Trading Card Games</t>
        </is>
      </c>
      <c r="E34" s="3" t="n">
        <v>0</v>
      </c>
      <c r="F34" s="3" t="n">
        <v>12.75</v>
      </c>
      <c r="G34" s="2" t="n">
        <v>3</v>
      </c>
      <c r="H34" s="5" t="n"/>
      <c r="I34" s="3">
        <f>F34*IF(H34="",G34,H34)</f>
        <v/>
      </c>
      <c r="J34" s="2" t="inlineStr">
        <is>
          <t>12/01/2026</t>
        </is>
      </c>
      <c r="K34" s="2" t="inlineStr">
        <is>
          <t>08/19/2026</t>
        </is>
      </c>
      <c r="L34" s="2" t="inlineStr"/>
    </row>
    <row r="35">
      <c r="A35" s="2" t="inlineStr">
        <is>
          <t>BUSGZCGSD05</t>
        </is>
      </c>
      <c r="B35" s="2" t="inlineStr">
        <is>
          <t>Godzilla Card Game: Battle Begins! Starter Deck (King Ghidorah • Green)</t>
        </is>
      </c>
      <c r="C35" s="2" t="inlineStr">
        <is>
          <t>Bushiroad</t>
        </is>
      </c>
      <c r="D35" s="2" t="inlineStr">
        <is>
          <t>Trading Card Games</t>
        </is>
      </c>
      <c r="E35" s="3" t="n">
        <v>0</v>
      </c>
      <c r="F35" s="3" t="n">
        <v>12.75</v>
      </c>
      <c r="G35" s="2" t="n">
        <v>3</v>
      </c>
      <c r="H35" s="5" t="n"/>
      <c r="I35" s="3">
        <f>F35*IF(H35="",G35,H35)</f>
        <v/>
      </c>
      <c r="J35" s="2" t="inlineStr">
        <is>
          <t>12/01/2026</t>
        </is>
      </c>
      <c r="K35" s="2" t="inlineStr">
        <is>
          <t>08/19/2026</t>
        </is>
      </c>
      <c r="L35" s="2" t="inlineStr"/>
    </row>
    <row r="36">
      <c r="A36" s="2" t="inlineStr">
        <is>
          <t>KON87328</t>
        </is>
      </c>
      <c r="B36" s="2" t="inlineStr">
        <is>
          <t>Yu-Gi-Oh: Magnificent Maestros Box Display (10 Boxes) [Highly Allocated]</t>
        </is>
      </c>
      <c r="C36" s="2" t="inlineStr">
        <is>
          <t>Konami</t>
        </is>
      </c>
      <c r="D36" s="2" t="inlineStr">
        <is>
          <t>Trading Card Games</t>
        </is>
      </c>
      <c r="E36" s="3" t="n">
        <v>349.9</v>
      </c>
      <c r="F36" s="3" t="n">
        <v>209.25</v>
      </c>
      <c r="G36" s="2" t="n">
        <v>3</v>
      </c>
      <c r="H36" s="5" t="n"/>
      <c r="I36" s="3">
        <f>F36*IF(H36="",G36,H36)</f>
        <v/>
      </c>
      <c r="J36" s="2" t="inlineStr">
        <is>
          <t>11/13/2026</t>
        </is>
      </c>
      <c r="K36" s="2" t="inlineStr">
        <is>
          <t>08/19/2026</t>
        </is>
      </c>
      <c r="L36" s="2" t="inlineStr">
        <is>
          <t>083717873280</t>
        </is>
      </c>
    </row>
    <row r="37">
      <c r="A37" s="2" t="inlineStr">
        <is>
          <t>ASMGGS15199ML</t>
        </is>
      </c>
      <c r="B37" s="2" t="inlineStr">
        <is>
          <t>Card Sleeves: MTG Premium Art- Nauctis The Sunken Realm- Commander 1 (105ct)</t>
        </is>
      </c>
      <c r="C37" s="2" t="inlineStr">
        <is>
          <t>Gamegenic</t>
        </is>
      </c>
      <c r="D37" s="2" t="inlineStr">
        <is>
          <t>Supplies, Trading Card Games</t>
        </is>
      </c>
      <c r="E37" s="3" t="n">
        <v>17.99</v>
      </c>
      <c r="F37" s="3" t="n">
        <v>9.5</v>
      </c>
      <c r="G37" s="2" t="n">
        <v>3</v>
      </c>
      <c r="H37" s="5" t="n"/>
      <c r="I37" s="3">
        <f>F37*IF(H37="",G37,H37)</f>
        <v/>
      </c>
      <c r="J37" s="2" t="inlineStr">
        <is>
          <t>02/05/2027</t>
        </is>
      </c>
      <c r="K37" s="2" t="inlineStr">
        <is>
          <t>08/20/2026</t>
        </is>
      </c>
      <c r="L37" s="2" t="inlineStr"/>
    </row>
    <row r="38">
      <c r="A38" s="2" t="inlineStr">
        <is>
          <t>ASMGGS15200ML</t>
        </is>
      </c>
      <c r="B38" s="2" t="inlineStr">
        <is>
          <t>Card Sleeves: MTG Premium Art- Nauctis The Sunken Realm- Commander 2 (105ct)</t>
        </is>
      </c>
      <c r="C38" s="2" t="inlineStr">
        <is>
          <t>Gamegenic</t>
        </is>
      </c>
      <c r="D38" s="2" t="inlineStr">
        <is>
          <t>Supplies, Trading Card Games</t>
        </is>
      </c>
      <c r="E38" s="3" t="n">
        <v>17.99</v>
      </c>
      <c r="F38" s="3" t="n">
        <v>9.5</v>
      </c>
      <c r="G38" s="2" t="n">
        <v>3</v>
      </c>
      <c r="H38" s="5" t="n"/>
      <c r="I38" s="3">
        <f>F38*IF(H38="",G38,H38)</f>
        <v/>
      </c>
      <c r="J38" s="2" t="inlineStr">
        <is>
          <t>02/05/2027</t>
        </is>
      </c>
      <c r="K38" s="2" t="inlineStr">
        <is>
          <t>08/20/2026</t>
        </is>
      </c>
      <c r="L38" s="2" t="inlineStr"/>
    </row>
    <row r="39">
      <c r="A39" s="2" t="inlineStr">
        <is>
          <t>ASMGGS15201ML</t>
        </is>
      </c>
      <c r="B39" s="2" t="inlineStr">
        <is>
          <t>Card Sleeves: MTG Premium Art- Nauctis The Sunken Realm- Commander 3 (105ct)</t>
        </is>
      </c>
      <c r="C39" s="2" t="inlineStr">
        <is>
          <t>Gamegenic</t>
        </is>
      </c>
      <c r="D39" s="2" t="inlineStr">
        <is>
          <t>Supplies, Trading Card Games</t>
        </is>
      </c>
      <c r="E39" s="3" t="n">
        <v>17.99</v>
      </c>
      <c r="F39" s="3" t="n">
        <v>9.5</v>
      </c>
      <c r="G39" s="2" t="n">
        <v>3</v>
      </c>
      <c r="H39" s="5" t="n"/>
      <c r="I39" s="3">
        <f>F39*IF(H39="",G39,H39)</f>
        <v/>
      </c>
      <c r="J39" s="2" t="inlineStr">
        <is>
          <t>02/05/2027</t>
        </is>
      </c>
      <c r="K39" s="2" t="inlineStr">
        <is>
          <t>08/20/2026</t>
        </is>
      </c>
      <c r="L39" s="2" t="inlineStr"/>
    </row>
    <row r="40">
      <c r="A40" s="2" t="inlineStr">
        <is>
          <t>ASMGGS15202ML</t>
        </is>
      </c>
      <c r="B40" s="2" t="inlineStr">
        <is>
          <t>Card Sleeves: MTG Premium Art- Nauctis The Sunken Realm- Commander 4 (105ct)</t>
        </is>
      </c>
      <c r="C40" s="2" t="inlineStr">
        <is>
          <t>Gamegenic</t>
        </is>
      </c>
      <c r="D40" s="2" t="inlineStr">
        <is>
          <t>Supplies, Trading Card Games</t>
        </is>
      </c>
      <c r="E40" s="3" t="n">
        <v>17.99</v>
      </c>
      <c r="F40" s="3" t="n">
        <v>9.5</v>
      </c>
      <c r="G40" s="2" t="n">
        <v>3</v>
      </c>
      <c r="H40" s="5" t="n"/>
      <c r="I40" s="3">
        <f>F40*IF(H40="",G40,H40)</f>
        <v/>
      </c>
      <c r="J40" s="2" t="inlineStr">
        <is>
          <t>02/05/2027</t>
        </is>
      </c>
      <c r="K40" s="2" t="inlineStr">
        <is>
          <t>08/20/2026</t>
        </is>
      </c>
      <c r="L40" s="2" t="inlineStr"/>
    </row>
    <row r="41">
      <c r="A41" s="2" t="inlineStr">
        <is>
          <t>ASMGGS15203ML</t>
        </is>
      </c>
      <c r="B41" s="2" t="inlineStr">
        <is>
          <t>Card Sleeves: MTG Premium Art- Nauctis The Sunken Realm- Commander 5 (105ct)</t>
        </is>
      </c>
      <c r="C41" s="2" t="inlineStr">
        <is>
          <t>Gamegenic</t>
        </is>
      </c>
      <c r="D41" s="2" t="inlineStr">
        <is>
          <t>Supplies, Trading Card Games</t>
        </is>
      </c>
      <c r="E41" s="3" t="n">
        <v>17.99</v>
      </c>
      <c r="F41" s="3" t="n">
        <v>9.5</v>
      </c>
      <c r="G41" s="2" t="n">
        <v>3</v>
      </c>
      <c r="H41" s="5" t="n"/>
      <c r="I41" s="3">
        <f>F41*IF(H41="",G41,H41)</f>
        <v/>
      </c>
      <c r="J41" s="2" t="inlineStr">
        <is>
          <t>02/05/2027</t>
        </is>
      </c>
      <c r="K41" s="2" t="inlineStr">
        <is>
          <t>08/20/2026</t>
        </is>
      </c>
      <c r="L41" s="2" t="inlineStr"/>
    </row>
    <row r="42">
      <c r="A42" s="2" t="inlineStr">
        <is>
          <t>ASMGGS15204ML</t>
        </is>
      </c>
      <c r="B42" s="2" t="inlineStr">
        <is>
          <t>Card Sleeves: MTG Premium Art- Nauctis The Sunken Realm- Commander 6 (105ct)</t>
        </is>
      </c>
      <c r="C42" s="2" t="inlineStr">
        <is>
          <t>Gamegenic</t>
        </is>
      </c>
      <c r="D42" s="2" t="inlineStr">
        <is>
          <t>Supplies, Trading Card Games</t>
        </is>
      </c>
      <c r="E42" s="3" t="n">
        <v>17.99</v>
      </c>
      <c r="F42" s="3" t="n">
        <v>9.5</v>
      </c>
      <c r="G42" s="2" t="n">
        <v>3</v>
      </c>
      <c r="H42" s="5" t="n"/>
      <c r="I42" s="3">
        <f>F42*IF(H42="",G42,H42)</f>
        <v/>
      </c>
      <c r="J42" s="2" t="inlineStr">
        <is>
          <t>02/05/2027</t>
        </is>
      </c>
      <c r="K42" s="2" t="inlineStr">
        <is>
          <t>08/20/2026</t>
        </is>
      </c>
      <c r="L42" s="2" t="inlineStr"/>
    </row>
    <row r="43">
      <c r="A43" s="2" t="inlineStr">
        <is>
          <t>ASMGGS15205ML</t>
        </is>
      </c>
      <c r="B43" s="2" t="inlineStr">
        <is>
          <t>Card Sleeves: MTG Premium Art- Nauctis The Sunken Realm- Commander 7 (105ct)</t>
        </is>
      </c>
      <c r="C43" s="2" t="inlineStr">
        <is>
          <t>Gamegenic</t>
        </is>
      </c>
      <c r="D43" s="2" t="inlineStr">
        <is>
          <t>Supplies, Trading Card Games</t>
        </is>
      </c>
      <c r="E43" s="3" t="n">
        <v>17.99</v>
      </c>
      <c r="F43" s="3" t="n">
        <v>9.5</v>
      </c>
      <c r="G43" s="2" t="n">
        <v>3</v>
      </c>
      <c r="H43" s="5" t="n"/>
      <c r="I43" s="3">
        <f>F43*IF(H43="",G43,H43)</f>
        <v/>
      </c>
      <c r="J43" s="2" t="inlineStr">
        <is>
          <t>02/05/2027</t>
        </is>
      </c>
      <c r="K43" s="2" t="inlineStr">
        <is>
          <t>08/20/2026</t>
        </is>
      </c>
      <c r="L43" s="2" t="inlineStr"/>
    </row>
    <row r="44">
      <c r="A44" s="2" t="inlineStr">
        <is>
          <t>ASMGGS15206ML</t>
        </is>
      </c>
      <c r="B44" s="2" t="inlineStr">
        <is>
          <t>Card Sleeves: MTG Premium Art- Nauctis The Sunken Realm- Commander 8 (105ct)</t>
        </is>
      </c>
      <c r="C44" s="2" t="inlineStr">
        <is>
          <t>Gamegenic</t>
        </is>
      </c>
      <c r="D44" s="2" t="inlineStr">
        <is>
          <t>Supplies, Trading Card Games</t>
        </is>
      </c>
      <c r="E44" s="3" t="n">
        <v>17.99</v>
      </c>
      <c r="F44" s="3" t="n">
        <v>9.5</v>
      </c>
      <c r="G44" s="2" t="n">
        <v>3</v>
      </c>
      <c r="H44" s="5" t="n"/>
      <c r="I44" s="3">
        <f>F44*IF(H44="",G44,H44)</f>
        <v/>
      </c>
      <c r="J44" s="2" t="inlineStr">
        <is>
          <t>02/05/2027</t>
        </is>
      </c>
      <c r="K44" s="2" t="inlineStr">
        <is>
          <t>08/20/2026</t>
        </is>
      </c>
      <c r="L44" s="2" t="inlineStr"/>
    </row>
    <row r="45">
      <c r="A45" s="2" t="inlineStr">
        <is>
          <t>ASMGGS15207ML</t>
        </is>
      </c>
      <c r="B45" s="2" t="inlineStr">
        <is>
          <t>Card Sleeves: MTG Premium Art- Nauctis The Sunken Realm- Planeswalker 1 (105ct)</t>
        </is>
      </c>
      <c r="C45" s="2" t="inlineStr">
        <is>
          <t>Gamegenic</t>
        </is>
      </c>
      <c r="D45" s="2" t="inlineStr">
        <is>
          <t>Supplies, Trading Card Games</t>
        </is>
      </c>
      <c r="E45" s="3" t="n">
        <v>17.99</v>
      </c>
      <c r="F45" s="3" t="n">
        <v>9.5</v>
      </c>
      <c r="G45" s="2" t="n">
        <v>3</v>
      </c>
      <c r="H45" s="5" t="n"/>
      <c r="I45" s="3">
        <f>F45*IF(H45="",G45,H45)</f>
        <v/>
      </c>
      <c r="J45" s="2" t="inlineStr">
        <is>
          <t>02/05/2027</t>
        </is>
      </c>
      <c r="K45" s="2" t="inlineStr">
        <is>
          <t>08/20/2026</t>
        </is>
      </c>
      <c r="L45" s="2" t="inlineStr"/>
    </row>
    <row r="46">
      <c r="A46" s="2" t="inlineStr">
        <is>
          <t>ASMGGS15208ML</t>
        </is>
      </c>
      <c r="B46" s="2" t="inlineStr">
        <is>
          <t>Card Sleeves: MTG Premium Art- Nauctis The Sunken Realm- Planeswalker 2 (105ct)</t>
        </is>
      </c>
      <c r="C46" s="2" t="inlineStr">
        <is>
          <t>Gamegenic</t>
        </is>
      </c>
      <c r="D46" s="2" t="inlineStr">
        <is>
          <t>Supplies, Trading Card Games</t>
        </is>
      </c>
      <c r="E46" s="3" t="n">
        <v>17.99</v>
      </c>
      <c r="F46" s="3" t="n">
        <v>9.5</v>
      </c>
      <c r="G46" s="2" t="n">
        <v>3</v>
      </c>
      <c r="H46" s="5" t="n"/>
      <c r="I46" s="3">
        <f>F46*IF(H46="",G46,H46)</f>
        <v/>
      </c>
      <c r="J46" s="2" t="inlineStr">
        <is>
          <t>02/05/2027</t>
        </is>
      </c>
      <c r="K46" s="2" t="inlineStr">
        <is>
          <t>08/20/2026</t>
        </is>
      </c>
      <c r="L46" s="2" t="inlineStr"/>
    </row>
    <row r="47">
      <c r="A47" s="2" t="inlineStr">
        <is>
          <t>ASMGGS15209ML</t>
        </is>
      </c>
      <c r="B47" s="2" t="inlineStr">
        <is>
          <t>Card Sleeves: MTG Premium Art- Nauctis The Sunken Realm- Planeswalker 3 (105ct)</t>
        </is>
      </c>
      <c r="C47" s="2" t="inlineStr">
        <is>
          <t>Gamegenic</t>
        </is>
      </c>
      <c r="D47" s="2" t="inlineStr">
        <is>
          <t>Supplies, Trading Card Games</t>
        </is>
      </c>
      <c r="E47" s="3" t="n">
        <v>17.99</v>
      </c>
      <c r="F47" s="3" t="n">
        <v>9.5</v>
      </c>
      <c r="G47" s="2" t="n">
        <v>3</v>
      </c>
      <c r="H47" s="5" t="n"/>
      <c r="I47" s="3">
        <f>F47*IF(H47="",G47,H47)</f>
        <v/>
      </c>
      <c r="J47" s="2" t="inlineStr">
        <is>
          <t>02/05/2027</t>
        </is>
      </c>
      <c r="K47" s="2" t="inlineStr">
        <is>
          <t>08/20/2026</t>
        </is>
      </c>
      <c r="L47" s="2" t="inlineStr"/>
    </row>
    <row r="48">
      <c r="A48" s="2" t="inlineStr">
        <is>
          <t>ASMGGS15210ML</t>
        </is>
      </c>
      <c r="B48" s="2" t="inlineStr">
        <is>
          <t>Card Sleeves: MTG Premium Art- Nauctis The Sunken Realm- Artifact 1 (105ct)</t>
        </is>
      </c>
      <c r="C48" s="2" t="inlineStr">
        <is>
          <t>Gamegenic</t>
        </is>
      </c>
      <c r="D48" s="2" t="inlineStr">
        <is>
          <t>Supplies, Trading Card Games</t>
        </is>
      </c>
      <c r="E48" s="3" t="n">
        <v>17.99</v>
      </c>
      <c r="F48" s="3" t="n">
        <v>9.5</v>
      </c>
      <c r="G48" s="2" t="n">
        <v>3</v>
      </c>
      <c r="H48" s="5" t="n"/>
      <c r="I48" s="3">
        <f>F48*IF(H48="",G48,H48)</f>
        <v/>
      </c>
      <c r="J48" s="2" t="inlineStr">
        <is>
          <t>02/05/2027</t>
        </is>
      </c>
      <c r="K48" s="2" t="inlineStr">
        <is>
          <t>08/20/2026</t>
        </is>
      </c>
      <c r="L48" s="2" t="inlineStr"/>
    </row>
    <row r="49">
      <c r="A49" s="2" t="inlineStr">
        <is>
          <t>ASMGGS15211ML</t>
        </is>
      </c>
      <c r="B49" s="2" t="inlineStr">
        <is>
          <t>Card Sleeves: MTG Premium Art- Nauctis The Sunken Realm- Shoal’s Collective Visage (105ct)</t>
        </is>
      </c>
      <c r="C49" s="2" t="inlineStr">
        <is>
          <t>Gamegenic</t>
        </is>
      </c>
      <c r="D49" s="2" t="inlineStr">
        <is>
          <t>Supplies, Trading Card Games</t>
        </is>
      </c>
      <c r="E49" s="3" t="n">
        <v>17.99</v>
      </c>
      <c r="F49" s="3" t="n">
        <v>9.5</v>
      </c>
      <c r="G49" s="2" t="n">
        <v>3</v>
      </c>
      <c r="H49" s="5" t="n"/>
      <c r="I49" s="3">
        <f>F49*IF(H49="",G49,H49)</f>
        <v/>
      </c>
      <c r="J49" s="2" t="inlineStr">
        <is>
          <t>02/05/2027</t>
        </is>
      </c>
      <c r="K49" s="2" t="inlineStr">
        <is>
          <t>08/20/2026</t>
        </is>
      </c>
      <c r="L49" s="2" t="inlineStr"/>
    </row>
    <row r="50">
      <c r="A50" s="2" t="inlineStr">
        <is>
          <t>ASMGGS20292ML</t>
        </is>
      </c>
      <c r="B50" s="2" t="inlineStr">
        <is>
          <t>Deckbox: MTG Squire PLUS 100+ XL- Nauctis The Sunken Realm- Commander 1</t>
        </is>
      </c>
      <c r="C50" s="2" t="inlineStr">
        <is>
          <t>Gamegenic</t>
        </is>
      </c>
      <c r="D50" s="2" t="inlineStr">
        <is>
          <t>Supplies, Trading Card Games</t>
        </is>
      </c>
      <c r="E50" s="3" t="n">
        <v>36.99</v>
      </c>
      <c r="F50" s="3" t="n">
        <v>20.25</v>
      </c>
      <c r="G50" s="2" t="n">
        <v>3</v>
      </c>
      <c r="H50" s="5" t="n"/>
      <c r="I50" s="3">
        <f>F50*IF(H50="",G50,H50)</f>
        <v/>
      </c>
      <c r="J50" s="2" t="inlineStr">
        <is>
          <t>02/05/2027</t>
        </is>
      </c>
      <c r="K50" s="2" t="inlineStr">
        <is>
          <t>08/20/2026</t>
        </is>
      </c>
      <c r="L50" s="2" t="inlineStr"/>
    </row>
    <row r="51">
      <c r="A51" s="2" t="inlineStr">
        <is>
          <t>ASMGGS20293ML</t>
        </is>
      </c>
      <c r="B51" s="2" t="inlineStr">
        <is>
          <t>Deckbox: MTG Squire PLUS 100+ XL- Nauctis The Sunken Realm- Commander 4</t>
        </is>
      </c>
      <c r="C51" s="2" t="inlineStr">
        <is>
          <t>Gamegenic</t>
        </is>
      </c>
      <c r="D51" s="2" t="inlineStr">
        <is>
          <t>Supplies, Trading Card Games</t>
        </is>
      </c>
      <c r="E51" s="3" t="n">
        <v>36.99</v>
      </c>
      <c r="F51" s="3" t="n">
        <v>20.25</v>
      </c>
      <c r="G51" s="2" t="n">
        <v>3</v>
      </c>
      <c r="H51" s="5" t="n"/>
      <c r="I51" s="3">
        <f>F51*IF(H51="",G51,H51)</f>
        <v/>
      </c>
      <c r="J51" s="2" t="inlineStr">
        <is>
          <t>02/05/2027</t>
        </is>
      </c>
      <c r="K51" s="2" t="inlineStr">
        <is>
          <t>08/20/2026</t>
        </is>
      </c>
      <c r="L51" s="2" t="inlineStr"/>
    </row>
    <row r="52">
      <c r="A52" s="2" t="inlineStr">
        <is>
          <t>ASMGGS20294ML</t>
        </is>
      </c>
      <c r="B52" s="2" t="inlineStr">
        <is>
          <t>Deckbox: MTG Squire PLUS 100+ XL- Nauctis The Sunken Realm- Commander 6</t>
        </is>
      </c>
      <c r="C52" s="2" t="inlineStr">
        <is>
          <t>Gamegenic</t>
        </is>
      </c>
      <c r="D52" s="2" t="inlineStr">
        <is>
          <t>Supplies, Trading Card Games</t>
        </is>
      </c>
      <c r="E52" s="3" t="n">
        <v>36.99</v>
      </c>
      <c r="F52" s="3" t="n">
        <v>20.25</v>
      </c>
      <c r="G52" s="2" t="n">
        <v>3</v>
      </c>
      <c r="H52" s="5" t="n"/>
      <c r="I52" s="3">
        <f>F52*IF(H52="",G52,H52)</f>
        <v/>
      </c>
      <c r="J52" s="2" t="inlineStr">
        <is>
          <t>02/05/2027</t>
        </is>
      </c>
      <c r="K52" s="2" t="inlineStr">
        <is>
          <t>08/20/2026</t>
        </is>
      </c>
      <c r="L52" s="2" t="inlineStr"/>
    </row>
    <row r="53">
      <c r="A53" s="2" t="inlineStr">
        <is>
          <t>ASMGGS20295ML</t>
        </is>
      </c>
      <c r="B53" s="2" t="inlineStr">
        <is>
          <t>Deckbox: MTG Squire PLUS 100+ XL- Nauctis The Sunken Realm- Commander 7</t>
        </is>
      </c>
      <c r="C53" s="2" t="inlineStr">
        <is>
          <t>Gamegenic</t>
        </is>
      </c>
      <c r="D53" s="2" t="inlineStr">
        <is>
          <t>Supplies, Trading Card Games</t>
        </is>
      </c>
      <c r="E53" s="3" t="n">
        <v>36.99</v>
      </c>
      <c r="F53" s="3" t="n">
        <v>20.25</v>
      </c>
      <c r="G53" s="2" t="n">
        <v>3</v>
      </c>
      <c r="H53" s="5" t="n"/>
      <c r="I53" s="3">
        <f>F53*IF(H53="",G53,H53)</f>
        <v/>
      </c>
      <c r="J53" s="2" t="inlineStr">
        <is>
          <t>02/05/2027</t>
        </is>
      </c>
      <c r="K53" s="2" t="inlineStr">
        <is>
          <t>08/20/2026</t>
        </is>
      </c>
      <c r="L53" s="2" t="inlineStr"/>
    </row>
    <row r="54">
      <c r="A54" s="2" t="inlineStr">
        <is>
          <t>ASMGGS20296ML</t>
        </is>
      </c>
      <c r="B54" s="2" t="inlineStr">
        <is>
          <t>Deckbox: MTG Sidekick PRO 100+ XL- Nauctis The Sunken Realm- Fight Scene 2/Villain 1</t>
        </is>
      </c>
      <c r="C54" s="2" t="inlineStr">
        <is>
          <t>Gamegenic</t>
        </is>
      </c>
      <c r="D54" s="2" t="inlineStr">
        <is>
          <t>Supplies, Trading Card Games</t>
        </is>
      </c>
      <c r="E54" s="3" t="n">
        <v>42.99</v>
      </c>
      <c r="F54" s="3" t="n">
        <v>23.75</v>
      </c>
      <c r="G54" s="2" t="n">
        <v>3</v>
      </c>
      <c r="H54" s="5" t="n"/>
      <c r="I54" s="3">
        <f>F54*IF(H54="",G54,H54)</f>
        <v/>
      </c>
      <c r="J54" s="2" t="inlineStr">
        <is>
          <t>02/05/2027</t>
        </is>
      </c>
      <c r="K54" s="2" t="inlineStr">
        <is>
          <t>08/20/2026</t>
        </is>
      </c>
      <c r="L54" s="2" t="inlineStr"/>
    </row>
    <row r="55">
      <c r="A55" s="2" t="inlineStr">
        <is>
          <t>ASMGGS20297ML</t>
        </is>
      </c>
      <c r="B55" s="2" t="inlineStr">
        <is>
          <t>Deckbox: MTG Dungeon S 550+- Nauctis The Sunken Realm- Submarine City</t>
        </is>
      </c>
      <c r="C55" s="2" t="inlineStr">
        <is>
          <t>Gamegenic</t>
        </is>
      </c>
      <c r="D55" s="2" t="inlineStr">
        <is>
          <t>Supplies, Trading Card Games</t>
        </is>
      </c>
      <c r="E55" s="3" t="n">
        <v>54.99</v>
      </c>
      <c r="F55" s="3" t="n">
        <v>29.75</v>
      </c>
      <c r="G55" s="2" t="n">
        <v>3</v>
      </c>
      <c r="H55" s="5" t="n"/>
      <c r="I55" s="3">
        <f>F55*IF(H55="",G55,H55)</f>
        <v/>
      </c>
      <c r="J55" s="2" t="inlineStr">
        <is>
          <t>02/05/2027</t>
        </is>
      </c>
      <c r="K55" s="2" t="inlineStr">
        <is>
          <t>08/20/2026</t>
        </is>
      </c>
      <c r="L55" s="2" t="inlineStr"/>
    </row>
    <row r="56">
      <c r="A56" s="2" t="inlineStr">
        <is>
          <t>ASMGGS20298ML</t>
        </is>
      </c>
      <c r="B56" s="2" t="inlineStr">
        <is>
          <t>Deckbox: MTG Dungeon S 550+- Nauctis The Sunken Realm- Ocean Creature 4/Ocean Creature 5</t>
        </is>
      </c>
      <c r="C56" s="2" t="inlineStr">
        <is>
          <t>Gamegenic</t>
        </is>
      </c>
      <c r="D56" s="2" t="inlineStr">
        <is>
          <t>Supplies, Trading Card Games</t>
        </is>
      </c>
      <c r="E56" s="3" t="n">
        <v>54.99</v>
      </c>
      <c r="F56" s="3" t="n">
        <v>29.75</v>
      </c>
      <c r="G56" s="2" t="n">
        <v>3</v>
      </c>
      <c r="H56" s="5" t="n"/>
      <c r="I56" s="3">
        <f>F56*IF(H56="",G56,H56)</f>
        <v/>
      </c>
      <c r="J56" s="2" t="inlineStr">
        <is>
          <t>02/05/2027</t>
        </is>
      </c>
      <c r="K56" s="2" t="inlineStr">
        <is>
          <t>08/20/2026</t>
        </is>
      </c>
      <c r="L56" s="2" t="inlineStr"/>
    </row>
    <row r="57">
      <c r="A57" s="2" t="inlineStr">
        <is>
          <t>ASMGGS22073ML</t>
        </is>
      </c>
      <c r="B57" s="2" t="inlineStr">
        <is>
          <t>Deckbox: MTG Bastion 80+ XL- Nauctis The Sunken Realm- Shoal’s Collective Visage</t>
        </is>
      </c>
      <c r="C57" s="2" t="inlineStr">
        <is>
          <t>Gamegenic</t>
        </is>
      </c>
      <c r="D57" s="2" t="inlineStr">
        <is>
          <t>Supplies, Trading Card Games</t>
        </is>
      </c>
      <c r="E57" s="3" t="n">
        <v>19.99</v>
      </c>
      <c r="F57" s="3" t="n">
        <v>11</v>
      </c>
      <c r="G57" s="2" t="n">
        <v>3</v>
      </c>
      <c r="H57" s="5" t="n"/>
      <c r="I57" s="3">
        <f>F57*IF(H57="",G57,H57)</f>
        <v/>
      </c>
      <c r="J57" s="2" t="inlineStr">
        <is>
          <t>02/05/2027</t>
        </is>
      </c>
      <c r="K57" s="2" t="inlineStr">
        <is>
          <t>08/20/2026</t>
        </is>
      </c>
      <c r="L57" s="2" t="inlineStr"/>
    </row>
    <row r="58">
      <c r="A58" s="2" t="inlineStr">
        <is>
          <t>ASMGGS22074ML</t>
        </is>
      </c>
      <c r="B58" s="2" t="inlineStr">
        <is>
          <t>Deckbox: MTG Bastion 100+ XL- Nauctis The Sunken Realm- Underwater Scenery 4</t>
        </is>
      </c>
      <c r="C58" s="2" t="inlineStr">
        <is>
          <t>Gamegenic</t>
        </is>
      </c>
      <c r="D58" s="2" t="inlineStr">
        <is>
          <t>Supplies, Trading Card Games</t>
        </is>
      </c>
      <c r="E58" s="3" t="n">
        <v>22.99</v>
      </c>
      <c r="F58" s="3" t="n">
        <v>12.75</v>
      </c>
      <c r="G58" s="2" t="n">
        <v>3</v>
      </c>
      <c r="H58" s="5" t="n"/>
      <c r="I58" s="3">
        <f>F58*IF(H58="",G58,H58)</f>
        <v/>
      </c>
      <c r="J58" s="2" t="inlineStr">
        <is>
          <t>02/05/2027</t>
        </is>
      </c>
      <c r="K58" s="2" t="inlineStr">
        <is>
          <t>08/20/2026</t>
        </is>
      </c>
      <c r="L58" s="2" t="inlineStr"/>
    </row>
    <row r="59">
      <c r="A59" s="2" t="inlineStr">
        <is>
          <t>ASMGGS22075ML</t>
        </is>
      </c>
      <c r="B59" s="2" t="inlineStr">
        <is>
          <t>Deckbox: MTG Bastion 100+ XL- Nauctis The Sunken Realm- Merfolk 1</t>
        </is>
      </c>
      <c r="C59" s="2" t="inlineStr">
        <is>
          <t>Gamegenic</t>
        </is>
      </c>
      <c r="D59" s="2" t="inlineStr">
        <is>
          <t>Supplies, Trading Card Games</t>
        </is>
      </c>
      <c r="E59" s="3" t="n">
        <v>22.99</v>
      </c>
      <c r="F59" s="3" t="n">
        <v>12.75</v>
      </c>
      <c r="G59" s="2" t="n">
        <v>3</v>
      </c>
      <c r="H59" s="5" t="n"/>
      <c r="I59" s="3">
        <f>F59*IF(H59="",G59,H59)</f>
        <v/>
      </c>
      <c r="J59" s="2" t="inlineStr">
        <is>
          <t>02/05/2027</t>
        </is>
      </c>
      <c r="K59" s="2" t="inlineStr">
        <is>
          <t>08/20/2026</t>
        </is>
      </c>
      <c r="L59" s="2" t="inlineStr"/>
    </row>
    <row r="60">
      <c r="A60" s="2" t="inlineStr">
        <is>
          <t>ASMGGS25181ML</t>
        </is>
      </c>
      <c r="B60" s="2" t="inlineStr">
        <is>
          <t>Deckbox: MTG Soft Dynacrate 100+ XL- Nauctis The Sunken Realm- Planeswalker 1/Planeswalker 2/Planeswalker 3</t>
        </is>
      </c>
      <c r="C60" s="2" t="inlineStr">
        <is>
          <t>Gamegenic</t>
        </is>
      </c>
      <c r="D60" s="2" t="inlineStr">
        <is>
          <t>Supplies, Trading Card Games</t>
        </is>
      </c>
      <c r="E60" s="3" t="n">
        <v>12.99</v>
      </c>
      <c r="F60" s="3" t="n">
        <v>7.25</v>
      </c>
      <c r="G60" s="2" t="n">
        <v>3</v>
      </c>
      <c r="H60" s="5" t="n"/>
      <c r="I60" s="3">
        <f>F60*IF(H60="",G60,H60)</f>
        <v/>
      </c>
      <c r="J60" s="2" t="inlineStr">
        <is>
          <t>02/05/2027</t>
        </is>
      </c>
      <c r="K60" s="2" t="inlineStr">
        <is>
          <t>08/20/2026</t>
        </is>
      </c>
      <c r="L60" s="2" t="inlineStr"/>
    </row>
    <row r="61">
      <c r="A61" s="2" t="inlineStr">
        <is>
          <t>ASMGGS25182ML</t>
        </is>
      </c>
      <c r="B61" s="2" t="inlineStr">
        <is>
          <t>Deckbox: MTG Soft Crate 100+ XL- Nauctis The Sunken Realm- Fight Scene 1</t>
        </is>
      </c>
      <c r="C61" s="2" t="inlineStr">
        <is>
          <t>Gamegenic</t>
        </is>
      </c>
      <c r="D61" s="2" t="inlineStr">
        <is>
          <t>Supplies, Trading Card Games</t>
        </is>
      </c>
      <c r="E61" s="3" t="n">
        <v>9.99</v>
      </c>
      <c r="F61" s="3" t="n">
        <v>5.4</v>
      </c>
      <c r="G61" s="2" t="n">
        <v>3</v>
      </c>
      <c r="H61" s="5" t="n"/>
      <c r="I61" s="3">
        <f>F61*IF(H61="",G61,H61)</f>
        <v/>
      </c>
      <c r="J61" s="2" t="inlineStr">
        <is>
          <t>02/05/2027</t>
        </is>
      </c>
      <c r="K61" s="2" t="inlineStr">
        <is>
          <t>08/20/2026</t>
        </is>
      </c>
      <c r="L61" s="2" t="inlineStr"/>
    </row>
    <row r="62">
      <c r="A62" s="2" t="inlineStr">
        <is>
          <t>ASMGGS25183ML</t>
        </is>
      </c>
      <c r="B62" s="2" t="inlineStr">
        <is>
          <t>Deckbox: MTG Soft Crate 80+- Nauctis The Sunken Realm- Ocean Creature 1/Ocean Creature 2</t>
        </is>
      </c>
      <c r="C62" s="2" t="inlineStr">
        <is>
          <t>Gamegenic</t>
        </is>
      </c>
      <c r="D62" s="2" t="inlineStr">
        <is>
          <t>Supplies, Trading Card Games</t>
        </is>
      </c>
      <c r="E62" s="3" t="n">
        <v>8.99</v>
      </c>
      <c r="F62" s="3" t="n">
        <v>4.9</v>
      </c>
      <c r="G62" s="2" t="n">
        <v>3</v>
      </c>
      <c r="H62" s="5" t="n"/>
      <c r="I62" s="3">
        <f>F62*IF(H62="",G62,H62)</f>
        <v/>
      </c>
      <c r="J62" s="2" t="inlineStr">
        <is>
          <t>02/05/2027</t>
        </is>
      </c>
      <c r="K62" s="2" t="inlineStr">
        <is>
          <t>08/20/2026</t>
        </is>
      </c>
      <c r="L62" s="2" t="inlineStr"/>
    </row>
    <row r="63">
      <c r="A63" s="2" t="inlineStr">
        <is>
          <t>ASMGGS25184ML</t>
        </is>
      </c>
      <c r="B63" s="2" t="inlineStr">
        <is>
          <t>Deckbox: MTG Deck Holder 100+ XL- Nauctis The Sunken Realm- Ocean Creature 3</t>
        </is>
      </c>
      <c r="C63" s="2" t="inlineStr">
        <is>
          <t>Gamegenic</t>
        </is>
      </c>
      <c r="D63" s="2" t="inlineStr">
        <is>
          <t>Supplies, Trading Card Games</t>
        </is>
      </c>
      <c r="E63" s="3" t="n">
        <v>5.99</v>
      </c>
      <c r="F63" s="3" t="n">
        <v>3.25</v>
      </c>
      <c r="G63" s="2" t="n">
        <v>3</v>
      </c>
      <c r="H63" s="5" t="n"/>
      <c r="I63" s="3">
        <f>F63*IF(H63="",G63,H63)</f>
        <v/>
      </c>
      <c r="J63" s="2" t="inlineStr">
        <is>
          <t>02/05/2027</t>
        </is>
      </c>
      <c r="K63" s="2" t="inlineStr">
        <is>
          <t>08/20/2026</t>
        </is>
      </c>
      <c r="L63" s="2" t="inlineStr"/>
    </row>
    <row r="64">
      <c r="A64" s="2" t="inlineStr">
        <is>
          <t>ASMGGS31095ML</t>
        </is>
      </c>
      <c r="B64" s="2" t="inlineStr">
        <is>
          <t>Album: MTG 18-Pocket Prime Zip-Up- Nauctis The Sunken Realm- Artifact/Legendary Creature</t>
        </is>
      </c>
      <c r="C64" s="2" t="inlineStr">
        <is>
          <t>Gamegenic</t>
        </is>
      </c>
      <c r="D64" s="2" t="inlineStr">
        <is>
          <t>Supplies, Trading Card Games</t>
        </is>
      </c>
      <c r="E64" s="3" t="n">
        <v>44.99</v>
      </c>
      <c r="F64" s="3" t="n">
        <v>24.5</v>
      </c>
      <c r="G64" s="2" t="n">
        <v>3</v>
      </c>
      <c r="H64" s="5" t="n"/>
      <c r="I64" s="3">
        <f>F64*IF(H64="",G64,H64)</f>
        <v/>
      </c>
      <c r="J64" s="2" t="inlineStr">
        <is>
          <t>02/05/2027</t>
        </is>
      </c>
      <c r="K64" s="2" t="inlineStr">
        <is>
          <t>08/20/2026</t>
        </is>
      </c>
      <c r="L64" s="2" t="inlineStr"/>
    </row>
    <row r="65">
      <c r="A65" s="2" t="inlineStr">
        <is>
          <t>ASMGGS31096ML</t>
        </is>
      </c>
      <c r="B65" s="2" t="inlineStr">
        <is>
          <t>Album: MTG 24-Pocket Zip-Up- Nauctis The Sunken Realm- Merfolk 2/Villain 2</t>
        </is>
      </c>
      <c r="C65" s="2" t="inlineStr">
        <is>
          <t>Gamegenic</t>
        </is>
      </c>
      <c r="D65" s="2" t="inlineStr">
        <is>
          <t>Supplies, Trading Card Games</t>
        </is>
      </c>
      <c r="E65" s="3" t="n">
        <v>55.99</v>
      </c>
      <c r="F65" s="3" t="n">
        <v>30.5</v>
      </c>
      <c r="G65" s="2" t="n">
        <v>3</v>
      </c>
      <c r="H65" s="5" t="n"/>
      <c r="I65" s="3">
        <f>F65*IF(H65="",G65,H65)</f>
        <v/>
      </c>
      <c r="J65" s="2" t="inlineStr">
        <is>
          <t>02/05/2027</t>
        </is>
      </c>
      <c r="K65" s="2" t="inlineStr">
        <is>
          <t>08/20/2026</t>
        </is>
      </c>
      <c r="L65" s="2" t="inlineStr"/>
    </row>
    <row r="66">
      <c r="A66" s="2" t="inlineStr">
        <is>
          <t>ASMGGS32066ML</t>
        </is>
      </c>
      <c r="B66" s="2" t="inlineStr">
        <is>
          <t>Album: MTG 18-Pocket Casual- Nauctis The Sunken Realm- Ocean Creature 1/Ocean Creature 2</t>
        </is>
      </c>
      <c r="C66" s="2" t="inlineStr">
        <is>
          <t>Gamegenic</t>
        </is>
      </c>
      <c r="D66" s="2" t="inlineStr">
        <is>
          <t>Supplies, Trading Card Games</t>
        </is>
      </c>
      <c r="E66" s="3" t="n">
        <v>29.99</v>
      </c>
      <c r="F66" s="3" t="n">
        <v>16.25</v>
      </c>
      <c r="G66" s="2" t="n">
        <v>3</v>
      </c>
      <c r="H66" s="5" t="n"/>
      <c r="I66" s="3">
        <f>F66*IF(H66="",G66,H66)</f>
        <v/>
      </c>
      <c r="J66" s="2" t="inlineStr">
        <is>
          <t>02/05/2027</t>
        </is>
      </c>
      <c r="K66" s="2" t="inlineStr">
        <is>
          <t>08/20/2026</t>
        </is>
      </c>
      <c r="L66" s="2" t="inlineStr"/>
    </row>
    <row r="67">
      <c r="A67" s="2" t="inlineStr">
        <is>
          <t>ASMGGS32067ML</t>
        </is>
      </c>
      <c r="B67" s="2" t="inlineStr">
        <is>
          <t>Album: MTG 18-Pocket Casual- Nauctis The Sunken Realm- Merfolk 1</t>
        </is>
      </c>
      <c r="C67" s="2" t="inlineStr">
        <is>
          <t>Gamegenic</t>
        </is>
      </c>
      <c r="D67" s="2" t="inlineStr">
        <is>
          <t>Supplies, Trading Card Games</t>
        </is>
      </c>
      <c r="E67" s="3" t="n">
        <v>29.99</v>
      </c>
      <c r="F67" s="3" t="n">
        <v>16.25</v>
      </c>
      <c r="G67" s="2" t="n">
        <v>3</v>
      </c>
      <c r="H67" s="5" t="n"/>
      <c r="I67" s="3">
        <f>F67*IF(H67="",G67,H67)</f>
        <v/>
      </c>
      <c r="J67" s="2" t="inlineStr">
        <is>
          <t>02/05/2027</t>
        </is>
      </c>
      <c r="K67" s="2" t="inlineStr">
        <is>
          <t>08/20/2026</t>
        </is>
      </c>
      <c r="L67" s="2" t="inlineStr"/>
    </row>
    <row r="68">
      <c r="A68" s="2" t="inlineStr">
        <is>
          <t>ASMGGS40305ML</t>
        </is>
      </c>
      <c r="B68" s="2" t="inlineStr">
        <is>
          <t>Playmat: MTG Prime- Nauctis The Sunken Realm- Commander 1</t>
        </is>
      </c>
      <c r="C68" s="2" t="inlineStr">
        <is>
          <t>Gamegenic</t>
        </is>
      </c>
      <c r="D68" s="2" t="inlineStr">
        <is>
          <t>Supplies, Trading Card Games</t>
        </is>
      </c>
      <c r="E68" s="3" t="n">
        <v>26.99</v>
      </c>
      <c r="F68" s="3" t="n">
        <v>15</v>
      </c>
      <c r="G68" s="2" t="n">
        <v>3</v>
      </c>
      <c r="H68" s="5" t="n"/>
      <c r="I68" s="3">
        <f>F68*IF(H68="",G68,H68)</f>
        <v/>
      </c>
      <c r="J68" s="2" t="inlineStr">
        <is>
          <t>02/05/2027</t>
        </is>
      </c>
      <c r="K68" s="2" t="inlineStr">
        <is>
          <t>08/20/2026</t>
        </is>
      </c>
      <c r="L68" s="2" t="inlineStr"/>
    </row>
    <row r="69">
      <c r="A69" s="2" t="inlineStr">
        <is>
          <t>ASMGGS40306ML</t>
        </is>
      </c>
      <c r="B69" s="2" t="inlineStr">
        <is>
          <t>Playmat: MTG Prime- Nauctis The Sunken Realm- Commander 2</t>
        </is>
      </c>
      <c r="C69" s="2" t="inlineStr">
        <is>
          <t>Gamegenic</t>
        </is>
      </c>
      <c r="D69" s="2" t="inlineStr">
        <is>
          <t>Supplies, Trading Card Games</t>
        </is>
      </c>
      <c r="E69" s="3" t="n">
        <v>26.99</v>
      </c>
      <c r="F69" s="3" t="n">
        <v>15</v>
      </c>
      <c r="G69" s="2" t="n">
        <v>3</v>
      </c>
      <c r="H69" s="5" t="n"/>
      <c r="I69" s="3">
        <f>F69*IF(H69="",G69,H69)</f>
        <v/>
      </c>
      <c r="J69" s="2" t="inlineStr">
        <is>
          <t>02/05/2027</t>
        </is>
      </c>
      <c r="K69" s="2" t="inlineStr">
        <is>
          <t>08/20/2026</t>
        </is>
      </c>
      <c r="L69" s="2" t="inlineStr"/>
    </row>
    <row r="70">
      <c r="A70" s="2" t="inlineStr">
        <is>
          <t>ASMGGS40307ML</t>
        </is>
      </c>
      <c r="B70" s="2" t="inlineStr">
        <is>
          <t>Playmat: MTG Prime- Nauctis The Sunken Realm- Commander 5</t>
        </is>
      </c>
      <c r="C70" s="2" t="inlineStr">
        <is>
          <t>Gamegenic</t>
        </is>
      </c>
      <c r="D70" s="2" t="inlineStr">
        <is>
          <t>Supplies, Trading Card Games</t>
        </is>
      </c>
      <c r="E70" s="3" t="n">
        <v>26.99</v>
      </c>
      <c r="F70" s="3" t="n">
        <v>15</v>
      </c>
      <c r="G70" s="2" t="n">
        <v>3</v>
      </c>
      <c r="H70" s="5" t="n"/>
      <c r="I70" s="3">
        <f>F70*IF(H70="",G70,H70)</f>
        <v/>
      </c>
      <c r="J70" s="2" t="inlineStr">
        <is>
          <t>02/05/2027</t>
        </is>
      </c>
      <c r="K70" s="2" t="inlineStr">
        <is>
          <t>08/20/2026</t>
        </is>
      </c>
      <c r="L70" s="2" t="inlineStr"/>
    </row>
    <row r="71">
      <c r="A71" s="2" t="inlineStr">
        <is>
          <t>ASMGGS40308ML</t>
        </is>
      </c>
      <c r="B71" s="2" t="inlineStr">
        <is>
          <t>Playmat: MTG Prime- Nauctis The Sunken Realm- Commander 7</t>
        </is>
      </c>
      <c r="C71" s="2" t="inlineStr">
        <is>
          <t>Gamegenic</t>
        </is>
      </c>
      <c r="D71" s="2" t="inlineStr">
        <is>
          <t>Supplies, Trading Card Games</t>
        </is>
      </c>
      <c r="E71" s="3" t="n">
        <v>26.99</v>
      </c>
      <c r="F71" s="3" t="n">
        <v>15</v>
      </c>
      <c r="G71" s="2" t="n">
        <v>3</v>
      </c>
      <c r="H71" s="5" t="n"/>
      <c r="I71" s="3">
        <f>F71*IF(H71="",G71,H71)</f>
        <v/>
      </c>
      <c r="J71" s="2" t="inlineStr">
        <is>
          <t>02/05/2027</t>
        </is>
      </c>
      <c r="K71" s="2" t="inlineStr">
        <is>
          <t>08/20/2026</t>
        </is>
      </c>
      <c r="L71" s="2" t="inlineStr"/>
    </row>
    <row r="72">
      <c r="A72" s="2" t="inlineStr">
        <is>
          <t>ASMGGS40309ML</t>
        </is>
      </c>
      <c r="B72" s="2" t="inlineStr">
        <is>
          <t>Playmat: MTG Prime- Nauctis The Sunken Realm- Ocean Creature 1</t>
        </is>
      </c>
      <c r="C72" s="2" t="inlineStr">
        <is>
          <t>Gamegenic</t>
        </is>
      </c>
      <c r="D72" s="2" t="inlineStr">
        <is>
          <t>Supplies, Trading Card Games</t>
        </is>
      </c>
      <c r="E72" s="3" t="n">
        <v>26.99</v>
      </c>
      <c r="F72" s="3" t="n">
        <v>15</v>
      </c>
      <c r="G72" s="2" t="n">
        <v>3</v>
      </c>
      <c r="H72" s="5" t="n"/>
      <c r="I72" s="3">
        <f>F72*IF(H72="",G72,H72)</f>
        <v/>
      </c>
      <c r="J72" s="2" t="inlineStr">
        <is>
          <t>02/05/2027</t>
        </is>
      </c>
      <c r="K72" s="2" t="inlineStr">
        <is>
          <t>08/20/2026</t>
        </is>
      </c>
      <c r="L72" s="2" t="inlineStr"/>
    </row>
    <row r="73">
      <c r="A73" s="2" t="inlineStr">
        <is>
          <t>ASMGGS40310ML</t>
        </is>
      </c>
      <c r="B73" s="2" t="inlineStr">
        <is>
          <t>Playmat: MTG Shiny- Nauctis The Sunken Realm- Underwater Scenery 1</t>
        </is>
      </c>
      <c r="C73" s="2" t="inlineStr">
        <is>
          <t>Gamegenic</t>
        </is>
      </c>
      <c r="D73" s="2" t="inlineStr">
        <is>
          <t>Supplies, Trading Card Games</t>
        </is>
      </c>
      <c r="E73" s="3" t="n">
        <v>29.99</v>
      </c>
      <c r="F73" s="3" t="n">
        <v>16.25</v>
      </c>
      <c r="G73" s="2" t="n">
        <v>3</v>
      </c>
      <c r="H73" s="5" t="n"/>
      <c r="I73" s="3">
        <f>F73*IF(H73="",G73,H73)</f>
        <v/>
      </c>
      <c r="J73" s="2" t="inlineStr">
        <is>
          <t>02/05/2027</t>
        </is>
      </c>
      <c r="K73" s="2" t="inlineStr">
        <is>
          <t>08/20/2026</t>
        </is>
      </c>
      <c r="L73" s="2" t="inlineStr"/>
    </row>
    <row r="74">
      <c r="A74" s="2" t="inlineStr">
        <is>
          <t>ASMGGS40311ML</t>
        </is>
      </c>
      <c r="B74" s="2" t="inlineStr">
        <is>
          <t>Playmat: MTG Shiny- Nauctis The Sunken Realm- Shoal’s Collective Visage</t>
        </is>
      </c>
      <c r="C74" s="2" t="inlineStr">
        <is>
          <t>Gamegenic</t>
        </is>
      </c>
      <c r="D74" s="2" t="inlineStr">
        <is>
          <t>Supplies, Trading Card Games</t>
        </is>
      </c>
      <c r="E74" s="3" t="n">
        <v>29.99</v>
      </c>
      <c r="F74" s="3" t="n">
        <v>16.25</v>
      </c>
      <c r="G74" s="2" t="n">
        <v>3</v>
      </c>
      <c r="H74" s="5" t="n"/>
      <c r="I74" s="3">
        <f>F74*IF(H74="",G74,H74)</f>
        <v/>
      </c>
      <c r="J74" s="2" t="inlineStr">
        <is>
          <t>02/05/2027</t>
        </is>
      </c>
      <c r="K74" s="2" t="inlineStr">
        <is>
          <t>08/20/2026</t>
        </is>
      </c>
      <c r="L74" s="2" t="inlineStr"/>
    </row>
    <row r="75">
      <c r="A75" s="2" t="inlineStr">
        <is>
          <t>ASMGGS40312ML</t>
        </is>
      </c>
      <c r="B75" s="2" t="inlineStr">
        <is>
          <t>Playmat: MTG Shiny- Nauctis The Sunken Realm- Merfolk 1</t>
        </is>
      </c>
      <c r="C75" s="2" t="inlineStr">
        <is>
          <t>Gamegenic</t>
        </is>
      </c>
      <c r="D75" s="2" t="inlineStr">
        <is>
          <t>Supplies, Trading Card Games</t>
        </is>
      </c>
      <c r="E75" s="3" t="n">
        <v>29.99</v>
      </c>
      <c r="F75" s="3" t="n">
        <v>16.25</v>
      </c>
      <c r="G75" s="2" t="n">
        <v>3</v>
      </c>
      <c r="H75" s="5" t="n"/>
      <c r="I75" s="3">
        <f>F75*IF(H75="",G75,H75)</f>
        <v/>
      </c>
      <c r="J75" s="2" t="inlineStr">
        <is>
          <t>02/05/2027</t>
        </is>
      </c>
      <c r="K75" s="2" t="inlineStr">
        <is>
          <t>08/20/2026</t>
        </is>
      </c>
      <c r="L75" s="2" t="inlineStr"/>
    </row>
    <row r="76">
      <c r="A76" s="2" t="inlineStr">
        <is>
          <t>ASMGGS40313ML</t>
        </is>
      </c>
      <c r="B76" s="2" t="inlineStr">
        <is>
          <t>Playmat: MTG Shiny- Nauctis The Sunken Realm- Artifact 1</t>
        </is>
      </c>
      <c r="C76" s="2" t="inlineStr">
        <is>
          <t>Gamegenic</t>
        </is>
      </c>
      <c r="D76" s="2" t="inlineStr">
        <is>
          <t>Supplies, Trading Card Games</t>
        </is>
      </c>
      <c r="E76" s="3" t="n">
        <v>29.99</v>
      </c>
      <c r="F76" s="3" t="n">
        <v>16.25</v>
      </c>
      <c r="G76" s="2" t="n">
        <v>3</v>
      </c>
      <c r="H76" s="5" t="n"/>
      <c r="I76" s="3">
        <f>F76*IF(H76="",G76,H76)</f>
        <v/>
      </c>
      <c r="J76" s="2" t="inlineStr">
        <is>
          <t>02/05/2027</t>
        </is>
      </c>
      <c r="K76" s="2" t="inlineStr">
        <is>
          <t>08/20/2026</t>
        </is>
      </c>
      <c r="L76" s="2" t="inlineStr"/>
    </row>
    <row r="77">
      <c r="A77" s="2" t="inlineStr">
        <is>
          <t>ASMGGS40314ML</t>
        </is>
      </c>
      <c r="B77" s="2" t="inlineStr">
        <is>
          <t>Playmat: MTG Shiny- Nauctis The Sunken Realm- Underwater Scenery 2</t>
        </is>
      </c>
      <c r="C77" s="2" t="inlineStr">
        <is>
          <t>Gamegenic</t>
        </is>
      </c>
      <c r="D77" s="2" t="inlineStr">
        <is>
          <t>Supplies, Trading Card Games</t>
        </is>
      </c>
      <c r="E77" s="3" t="n">
        <v>29.99</v>
      </c>
      <c r="F77" s="3" t="n">
        <v>16.25</v>
      </c>
      <c r="G77" s="2" t="n">
        <v>3</v>
      </c>
      <c r="H77" s="5" t="n"/>
      <c r="I77" s="3">
        <f>F77*IF(H77="",G77,H77)</f>
        <v/>
      </c>
      <c r="J77" s="2" t="inlineStr">
        <is>
          <t>02/05/2027</t>
        </is>
      </c>
      <c r="K77" s="2" t="inlineStr">
        <is>
          <t>08/20/2026</t>
        </is>
      </c>
      <c r="L77" s="2" t="inlineStr"/>
    </row>
    <row r="78">
      <c r="A78" s="2" t="inlineStr">
        <is>
          <t>ASMGGS40315ML</t>
        </is>
      </c>
      <c r="B78" s="2" t="inlineStr">
        <is>
          <t>Playmat: MTG Shiny 2-Player- Nauctis The Sunken Realm- Ocean Creature 2</t>
        </is>
      </c>
      <c r="C78" s="2" t="inlineStr">
        <is>
          <t>Gamegenic</t>
        </is>
      </c>
      <c r="D78" s="2" t="inlineStr">
        <is>
          <t>Supplies, Trading Card Games</t>
        </is>
      </c>
      <c r="E78" s="3" t="n">
        <v>39.99</v>
      </c>
      <c r="F78" s="3" t="n">
        <v>21.75</v>
      </c>
      <c r="G78" s="2" t="n">
        <v>3</v>
      </c>
      <c r="H78" s="5" t="n"/>
      <c r="I78" s="3">
        <f>F78*IF(H78="",G78,H78)</f>
        <v/>
      </c>
      <c r="J78" s="2" t="inlineStr">
        <is>
          <t>02/05/2027</t>
        </is>
      </c>
      <c r="K78" s="2" t="inlineStr">
        <is>
          <t>08/20/2026</t>
        </is>
      </c>
      <c r="L78" s="2" t="inlineStr"/>
    </row>
    <row r="79">
      <c r="A79" s="2" t="inlineStr">
        <is>
          <t>ASMGGS40316ML</t>
        </is>
      </c>
      <c r="B79" s="2" t="inlineStr">
        <is>
          <t>Playmat: MTG Prime Table-sized 6ft- Nauctis The Sunken Realm- Underwater Scenery 3</t>
        </is>
      </c>
      <c r="C79" s="2" t="inlineStr">
        <is>
          <t>Gamegenic</t>
        </is>
      </c>
      <c r="D79" s="2" t="inlineStr">
        <is>
          <t>Supplies, Trading Card Games</t>
        </is>
      </c>
      <c r="E79" s="3" t="n">
        <v>99.98999999999999</v>
      </c>
      <c r="F79" s="3" t="n">
        <v>54.25</v>
      </c>
      <c r="G79" s="2" t="n">
        <v>3</v>
      </c>
      <c r="H79" s="5" t="n"/>
      <c r="I79" s="3">
        <f>F79*IF(H79="",G79,H79)</f>
        <v/>
      </c>
      <c r="J79" s="2" t="inlineStr">
        <is>
          <t>02/05/2027</t>
        </is>
      </c>
      <c r="K79" s="2" t="inlineStr">
        <is>
          <t>08/20/2026</t>
        </is>
      </c>
      <c r="L79" s="2" t="inlineStr"/>
    </row>
    <row r="80">
      <c r="A80" s="2" t="inlineStr">
        <is>
          <t>ASMGGS40317ML</t>
        </is>
      </c>
      <c r="B80" s="2" t="inlineStr">
        <is>
          <t>Playmat: MTG Prime Table-sized 8ft- Nauctis The Sunken Realm- Underwater Scenery 4</t>
        </is>
      </c>
      <c r="C80" s="2" t="inlineStr">
        <is>
          <t>Gamegenic</t>
        </is>
      </c>
      <c r="D80" s="2" t="inlineStr">
        <is>
          <t>Supplies, Trading Card Games</t>
        </is>
      </c>
      <c r="E80" s="3" t="n">
        <v>119.99</v>
      </c>
      <c r="F80" s="3" t="n">
        <v>65</v>
      </c>
      <c r="G80" s="2" t="n">
        <v>3</v>
      </c>
      <c r="H80" s="5" t="n"/>
      <c r="I80" s="3">
        <f>F80*IF(H80="",G80,H80)</f>
        <v/>
      </c>
      <c r="J80" s="2" t="inlineStr">
        <is>
          <t>02/05/2027</t>
        </is>
      </c>
      <c r="K80" s="2" t="inlineStr">
        <is>
          <t>08/20/2026</t>
        </is>
      </c>
      <c r="L80" s="2" t="inlineStr"/>
    </row>
    <row r="81">
      <c r="A81" s="2" t="inlineStr">
        <is>
          <t>BAN2890426</t>
        </is>
      </c>
      <c r="B81" s="2" t="inlineStr">
        <is>
          <t>DBS TCG Fusion World: Starter Deck Ex 15 [FS15]</t>
        </is>
      </c>
      <c r="C81" s="2" t="inlineStr">
        <is>
          <t>Bandai</t>
        </is>
      </c>
      <c r="D81" s="2" t="inlineStr">
        <is>
          <t>Trading Card Games</t>
        </is>
      </c>
      <c r="E81" s="3" t="n">
        <v>23.99</v>
      </c>
      <c r="F81" s="3" t="n">
        <v>15.25</v>
      </c>
      <c r="G81" s="2" t="n">
        <v>3</v>
      </c>
      <c r="H81" s="5" t="n"/>
      <c r="I81" s="3">
        <f>F81*IF(H81="",G81,H81)</f>
        <v/>
      </c>
      <c r="J81" s="2" t="inlineStr">
        <is>
          <t>03/12/2027</t>
        </is>
      </c>
      <c r="K81" s="2" t="inlineStr">
        <is>
          <t>08/20/2026</t>
        </is>
      </c>
      <c r="L81" s="2" t="inlineStr">
        <is>
          <t>810199506159</t>
        </is>
      </c>
    </row>
    <row r="82">
      <c r="A82" s="2" t="inlineStr">
        <is>
          <t>RAV11090038</t>
        </is>
      </c>
      <c r="B82" s="2" t="inlineStr">
        <is>
          <t>Disney Lorcana: Set 13- Attack of the Vine!- Illumineer's Quest- The Great Hunny Rescue</t>
        </is>
      </c>
      <c r="C82" s="2" t="inlineStr">
        <is>
          <t>Ravensburger</t>
        </is>
      </c>
      <c r="D82" s="2" t="inlineStr">
        <is>
          <t>Trading Card Games</t>
        </is>
      </c>
      <c r="E82" s="3" t="n">
        <v>59.99</v>
      </c>
      <c r="F82" s="3" t="n">
        <v>39.75</v>
      </c>
      <c r="G82" s="2" t="n">
        <v>3</v>
      </c>
      <c r="H82" s="5" t="n"/>
      <c r="I82" s="3">
        <f>F82*IF(H82="",G82,H82)</f>
        <v/>
      </c>
      <c r="J82" s="2" t="inlineStr">
        <is>
          <t>10/02/2026</t>
        </is>
      </c>
      <c r="K82" s="2" t="inlineStr">
        <is>
          <t>08/20/2026</t>
        </is>
      </c>
      <c r="L82" s="2" t="inlineStr"/>
    </row>
    <row r="83">
      <c r="A83" s="2" t="inlineStr">
        <is>
          <t>BAN2894414</t>
        </is>
      </c>
      <c r="B83" s="2" t="inlineStr">
        <is>
          <t>Union Arena: D.Gray-man Booster Display [UE28BT] (16 Packs)</t>
        </is>
      </c>
      <c r="C83" s="2" t="inlineStr">
        <is>
          <t>Bandai</t>
        </is>
      </c>
      <c r="D83" s="2" t="inlineStr">
        <is>
          <t>Trading Card Games</t>
        </is>
      </c>
      <c r="E83" s="3" t="n">
        <v>79.84</v>
      </c>
      <c r="F83" s="3" t="n">
        <v>49.75</v>
      </c>
      <c r="G83" s="2" t="n">
        <v>3</v>
      </c>
      <c r="H83" s="5" t="n"/>
      <c r="I83" s="3">
        <f>F83*IF(H83="",G83,H83)</f>
        <v/>
      </c>
      <c r="J83" s="2" t="inlineStr">
        <is>
          <t>03/19/2027</t>
        </is>
      </c>
      <c r="K83" s="2" t="inlineStr">
        <is>
          <t>08/21/2026</t>
        </is>
      </c>
      <c r="L83" s="2" t="inlineStr">
        <is>
          <t>810199507057</t>
        </is>
      </c>
    </row>
    <row r="84">
      <c r="A84" s="2" t="inlineStr">
        <is>
          <t>PKU10681</t>
        </is>
      </c>
      <c r="B84" s="2" t="inlineStr">
        <is>
          <t>Pokemon TCG: Deck Crafter's Collection, 2026 Case (12 Boxes)</t>
        </is>
      </c>
      <c r="C84" s="2" t="inlineStr">
        <is>
          <t>Pokemon Company, The</t>
        </is>
      </c>
      <c r="D84" s="2" t="inlineStr">
        <is>
          <t>Trading Card Games</t>
        </is>
      </c>
      <c r="E84" s="3" t="n">
        <v>119.88</v>
      </c>
      <c r="F84" s="3" t="n">
        <v>78.25</v>
      </c>
      <c r="G84" s="2" t="n">
        <v>3</v>
      </c>
      <c r="H84" s="5" t="n"/>
      <c r="I84" s="3">
        <f>F84*IF(H84="",G84,H84)</f>
        <v/>
      </c>
      <c r="J84" s="2" t="inlineStr">
        <is>
          <t>10/23/2026</t>
        </is>
      </c>
      <c r="K84" s="2" t="inlineStr">
        <is>
          <t>08/21/2026</t>
        </is>
      </c>
      <c r="L84" s="2" t="inlineStr"/>
    </row>
    <row r="85">
      <c r="A85" s="2" t="inlineStr">
        <is>
          <t>RAV11090064</t>
        </is>
      </c>
      <c r="B85" s="2" t="inlineStr">
        <is>
          <t>Disney Lorcana: Beast Gift Box</t>
        </is>
      </c>
      <c r="C85" s="2" t="inlineStr">
        <is>
          <t>Ravensburger</t>
        </is>
      </c>
      <c r="D85" s="2" t="inlineStr">
        <is>
          <t>Trading Card Games</t>
        </is>
      </c>
      <c r="E85" s="3" t="n">
        <v>29.99</v>
      </c>
      <c r="F85" s="3" t="n">
        <v>18.25</v>
      </c>
      <c r="G85" s="2" t="n">
        <v>3</v>
      </c>
      <c r="H85" s="5" t="n"/>
      <c r="I85" s="3">
        <f>F85*IF(H85="",G85,H85)</f>
        <v/>
      </c>
      <c r="J85" s="2" t="inlineStr">
        <is>
          <t>11/13/2026</t>
        </is>
      </c>
      <c r="K85" s="2" t="inlineStr">
        <is>
          <t>08/21/2026</t>
        </is>
      </c>
      <c r="L85" s="2" t="inlineStr"/>
    </row>
    <row r="86">
      <c r="A86" s="2" t="inlineStr">
        <is>
          <t>RAV11090093</t>
        </is>
      </c>
      <c r="B86" s="2" t="inlineStr">
        <is>
          <t>Disney Lorcana: Two-Player Deck Case (Set 14 &amp; Set 15) (4 Boxes)</t>
        </is>
      </c>
      <c r="C86" s="2" t="inlineStr">
        <is>
          <t>Ravensburger</t>
        </is>
      </c>
      <c r="D86" s="2" t="inlineStr">
        <is>
          <t>Trading Card Games</t>
        </is>
      </c>
      <c r="E86" s="3" t="n">
        <v>119.96</v>
      </c>
      <c r="F86" s="3" t="n">
        <v>69.75</v>
      </c>
      <c r="G86" s="2" t="n">
        <v>3</v>
      </c>
      <c r="H86" s="5" t="n"/>
      <c r="I86" s="3">
        <f>F86*IF(H86="",G86,H86)</f>
        <v/>
      </c>
      <c r="J86" s="2" t="inlineStr">
        <is>
          <t>10/23/2026</t>
        </is>
      </c>
      <c r="K86" s="2" t="inlineStr">
        <is>
          <t>08/21/2026</t>
        </is>
      </c>
      <c r="L86" s="2" t="inlineStr"/>
    </row>
    <row r="87">
      <c r="A87" s="2" t="inlineStr">
        <is>
          <t>RAV11090098</t>
        </is>
      </c>
      <c r="B87" s="2" t="inlineStr">
        <is>
          <t>Disney Lorcana: Set 14- Hyperia City- Booster Box (24 Packs)</t>
        </is>
      </c>
      <c r="C87" s="2" t="inlineStr">
        <is>
          <t>Ravensburger</t>
        </is>
      </c>
      <c r="D87" s="2" t="inlineStr">
        <is>
          <t>Trading Card Games</t>
        </is>
      </c>
      <c r="E87" s="3" t="n">
        <v>143.76</v>
      </c>
      <c r="F87" s="3" t="n">
        <v>85.75</v>
      </c>
      <c r="G87" s="2" t="n">
        <v>3</v>
      </c>
      <c r="H87" s="5" t="n"/>
      <c r="I87" s="3">
        <f>F87*IF(H87="",G87,H87)</f>
        <v/>
      </c>
      <c r="J87" s="2" t="inlineStr">
        <is>
          <t>10/23/2026</t>
        </is>
      </c>
      <c r="K87" s="2" t="inlineStr">
        <is>
          <t>08/21/2026</t>
        </is>
      </c>
      <c r="L87" s="2" t="inlineStr"/>
    </row>
    <row r="88">
      <c r="A88" s="2" t="inlineStr">
        <is>
          <t>RAV11090113</t>
        </is>
      </c>
      <c r="B88" s="2" t="inlineStr">
        <is>
          <t>Disney Lorcana: Set 14- Hyperia City- Illumineer's Trove</t>
        </is>
      </c>
      <c r="C88" s="2" t="inlineStr">
        <is>
          <t>Ravensburger</t>
        </is>
      </c>
      <c r="D88" s="2" t="inlineStr">
        <is>
          <t>Trading Card Games</t>
        </is>
      </c>
      <c r="E88" s="3" t="n">
        <v>49.99</v>
      </c>
      <c r="F88" s="3" t="n">
        <v>33.25</v>
      </c>
      <c r="G88" s="2" t="n">
        <v>3</v>
      </c>
      <c r="H88" s="5" t="n"/>
      <c r="I88" s="3">
        <f>F88*IF(H88="",G88,H88)</f>
        <v/>
      </c>
      <c r="J88" s="2" t="inlineStr">
        <is>
          <t>10/23/2026</t>
        </is>
      </c>
      <c r="K88" s="2" t="inlineStr">
        <is>
          <t>08/21/2026</t>
        </is>
      </c>
      <c r="L88" s="2" t="inlineStr"/>
    </row>
    <row r="89">
      <c r="A89" s="2" t="inlineStr">
        <is>
          <t>RAV11090117</t>
        </is>
      </c>
      <c r="B89" s="2" t="inlineStr">
        <is>
          <t>Disney Lorcana: Set 14- Hyperia City- PreRelease Box</t>
        </is>
      </c>
      <c r="C89" s="2" t="inlineStr">
        <is>
          <t>Ravensburger</t>
        </is>
      </c>
      <c r="D89" s="2" t="inlineStr">
        <is>
          <t>Organized Play, Trading Card Games</t>
        </is>
      </c>
      <c r="E89" s="3" t="n">
        <v>39.99</v>
      </c>
      <c r="F89" s="3" t="n">
        <v>24</v>
      </c>
      <c r="G89" s="2" t="n">
        <v>3</v>
      </c>
      <c r="H89" s="5" t="n"/>
      <c r="I89" s="3">
        <f>F89*IF(H89="",G89,H89)</f>
        <v/>
      </c>
      <c r="J89" s="2" t="inlineStr">
        <is>
          <t>10/16/2026</t>
        </is>
      </c>
      <c r="K89" s="2" t="inlineStr">
        <is>
          <t>08/21/2026</t>
        </is>
      </c>
      <c r="L89" s="2" t="inlineStr"/>
    </row>
    <row r="90">
      <c r="A90" s="2" t="inlineStr">
        <is>
          <t>RAV11090122</t>
        </is>
      </c>
      <c r="B90" s="2" t="inlineStr">
        <is>
          <t>Playmat: Disney Lorcana- Set 14- Hyperia City- Snowboarding Stitch</t>
        </is>
      </c>
      <c r="C90" s="2" t="inlineStr">
        <is>
          <t>Ravensburger</t>
        </is>
      </c>
      <c r="D90" s="2" t="inlineStr">
        <is>
          <t>Supplies, Trading Card Games</t>
        </is>
      </c>
      <c r="E90" s="3" t="n">
        <v>24.99</v>
      </c>
      <c r="F90" s="3" t="n">
        <v>15.65</v>
      </c>
      <c r="G90" s="2" t="n">
        <v>3</v>
      </c>
      <c r="H90" s="5" t="n"/>
      <c r="I90" s="3">
        <f>F90*IF(H90="",G90,H90)</f>
        <v/>
      </c>
      <c r="J90" s="2" t="inlineStr">
        <is>
          <t>10/23/2026</t>
        </is>
      </c>
      <c r="K90" s="2" t="inlineStr">
        <is>
          <t>08/21/2026</t>
        </is>
      </c>
      <c r="L90" s="2" t="inlineStr"/>
    </row>
    <row r="91">
      <c r="A91" s="2" t="inlineStr">
        <is>
          <t>RAV11090123</t>
        </is>
      </c>
      <c r="B91" s="2" t="inlineStr">
        <is>
          <t>Playmat: Disney Lorcana- Set 14- Hyperia City- Miguel</t>
        </is>
      </c>
      <c r="C91" s="2" t="inlineStr">
        <is>
          <t>Ravensburger</t>
        </is>
      </c>
      <c r="D91" s="2" t="inlineStr">
        <is>
          <t>Supplies, Trading Card Games</t>
        </is>
      </c>
      <c r="E91" s="3" t="n">
        <v>24.99</v>
      </c>
      <c r="F91" s="3" t="n">
        <v>15.65</v>
      </c>
      <c r="G91" s="2" t="n">
        <v>3</v>
      </c>
      <c r="H91" s="5" t="n"/>
      <c r="I91" s="3">
        <f>F91*IF(H91="",G91,H91)</f>
        <v/>
      </c>
      <c r="J91" s="2" t="inlineStr">
        <is>
          <t>10/23/2026</t>
        </is>
      </c>
      <c r="K91" s="2" t="inlineStr">
        <is>
          <t>08/21/2026</t>
        </is>
      </c>
      <c r="L91" s="2" t="inlineStr"/>
    </row>
    <row r="92">
      <c r="A92" s="2" t="inlineStr">
        <is>
          <t>BAN2884797</t>
        </is>
      </c>
      <c r="B92" s="2" t="inlineStr">
        <is>
          <t>One Piece Card Game: Set 19- Booster Pack Display [OP-19] (24 Packs)</t>
        </is>
      </c>
      <c r="C92" s="2" t="inlineStr">
        <is>
          <t>Bandai</t>
        </is>
      </c>
      <c r="D92" s="2" t="inlineStr">
        <is>
          <t>Trading Card Games</t>
        </is>
      </c>
      <c r="E92" s="3" t="n">
        <v>119.76</v>
      </c>
      <c r="F92" s="3" t="n">
        <v>71.25</v>
      </c>
      <c r="G92" s="2" t="n">
        <v>3</v>
      </c>
      <c r="H92" s="5" t="n"/>
      <c r="I92" s="3">
        <f>F92*IF(H92="",G92,H92)</f>
        <v/>
      </c>
      <c r="J92" s="2" t="inlineStr">
        <is>
          <t>03/05/2027</t>
        </is>
      </c>
      <c r="K92" s="2" t="inlineStr">
        <is>
          <t>08/27/2026</t>
        </is>
      </c>
      <c r="L92" s="2" t="inlineStr">
        <is>
          <t>810199505350</t>
        </is>
      </c>
    </row>
    <row r="93">
      <c r="A93" s="2" t="inlineStr">
        <is>
          <t>BAN2908265</t>
        </is>
      </c>
      <c r="B93" s="2" t="inlineStr">
        <is>
          <t>One Piece Card Game: Set 19- Double Pack Set Display [DP-14] (8 Packs)</t>
        </is>
      </c>
      <c r="C93" s="2" t="inlineStr">
        <is>
          <t>Bandai</t>
        </is>
      </c>
      <c r="D93" s="2" t="inlineStr">
        <is>
          <t>Trading Card Games</t>
        </is>
      </c>
      <c r="E93" s="3" t="n">
        <v>95.92</v>
      </c>
      <c r="F93" s="3" t="n">
        <v>62.25</v>
      </c>
      <c r="G93" s="2" t="n">
        <v>3</v>
      </c>
      <c r="H93" s="5" t="n"/>
      <c r="I93" s="3">
        <f>F93*IF(H93="",G93,H93)</f>
        <v/>
      </c>
      <c r="J93" s="2" t="inlineStr">
        <is>
          <t>03/05/2027</t>
        </is>
      </c>
      <c r="K93" s="2" t="inlineStr">
        <is>
          <t>08/27/2026</t>
        </is>
      </c>
      <c r="L93" s="2" t="inlineStr">
        <is>
          <t>810199508528</t>
        </is>
      </c>
    </row>
  </sheetData>
  <autoFilter ref="A1:L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4" customWidth="1" min="3" max="3"/>
    <col width="26" customWidth="1" min="4" max="4"/>
    <col width="10" customWidth="1" min="5" max="5"/>
    <col width="10" customWidth="1" min="6" max="6"/>
    <col width="13" customWidth="1" min="7" max="7"/>
    <col width="10" customWidth="1" min="8" max="8"/>
    <col width="12" customWidth="1" min="9" max="9"/>
    <col width="13" customWidth="1" min="10" max="10"/>
    <col width="14" customWidth="1" min="11" max="11"/>
    <col width="15" customWidth="1" min="12" max="12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Manufacturer</t>
        </is>
      </c>
      <c r="D1" s="1" t="inlineStr">
        <is>
          <t>Categories</t>
        </is>
      </c>
      <c r="E1" s="1" t="inlineStr">
        <is>
          <t>MSRP</t>
        </is>
      </c>
      <c r="F1" s="1" t="inlineStr">
        <is>
          <t>Price</t>
        </is>
      </c>
      <c r="G1" s="1" t="inlineStr">
        <is>
          <t>Suggested Qty</t>
        </is>
      </c>
      <c r="H1" s="1" t="inlineStr">
        <is>
          <t>Qty Added</t>
        </is>
      </c>
      <c r="I1" s="1" t="inlineStr">
        <is>
          <t>Line Total</t>
        </is>
      </c>
      <c r="J1" s="1" t="inlineStr">
        <is>
          <t>Release Date</t>
        </is>
      </c>
      <c r="K1" s="1" t="inlineStr">
        <is>
          <t>Pre-Order Date</t>
        </is>
      </c>
      <c r="L1" s="1" t="inlineStr">
        <is>
          <t>UPC</t>
        </is>
      </c>
    </row>
    <row r="2">
      <c r="A2" s="2" t="inlineStr">
        <is>
          <t>WSEBPFDSX08</t>
        </is>
      </c>
      <c r="B2" s="2" t="inlineStr">
        <is>
          <t>WEISS SCHWARZ: BOOSTER: FORBIDDEN DOOR (10CT)</t>
        </is>
      </c>
      <c r="C2" s="2" t="inlineStr">
        <is>
          <t>BUSHIROAD SE-ASIA PTE LTD</t>
        </is>
      </c>
      <c r="D2" s="2" t="inlineStr">
        <is>
          <t>Card Games</t>
        </is>
      </c>
      <c r="E2" s="3" t="n">
        <v>45</v>
      </c>
      <c r="F2" s="3" t="n">
        <v>37</v>
      </c>
      <c r="G2" s="2" t="n">
        <v>3</v>
      </c>
      <c r="H2" s="5" t="n"/>
      <c r="I2" s="3">
        <f>F2*IF(H2="",G2,H2)</f>
        <v/>
      </c>
      <c r="J2" s="2" t="inlineStr">
        <is>
          <t>12/04/2026</t>
        </is>
      </c>
      <c r="K2" s="2" t="inlineStr">
        <is>
          <t>08/12/2026</t>
        </is>
      </c>
      <c r="L2" s="2" t="inlineStr">
        <is>
          <t>8885021123004</t>
        </is>
      </c>
    </row>
    <row r="3">
      <c r="A3" s="2" t="inlineStr">
        <is>
          <t>BJP2872977</t>
        </is>
      </c>
      <c r="B3" s="2" t="inlineStr">
        <is>
          <t>DRAGON BALL SUPER TCG: MASTERS: ULTRA BOUT SET 6 BOOSTER (B33) (20CT)</t>
        </is>
      </c>
      <c r="C3" s="2" t="inlineStr">
        <is>
          <t>BANDAI JAPAN</t>
        </is>
      </c>
      <c r="D3" s="2" t="inlineStr">
        <is>
          <t>Card Games</t>
        </is>
      </c>
      <c r="E3" s="3" t="n">
        <v>119.8</v>
      </c>
      <c r="F3" s="3" t="n">
        <v>75.75</v>
      </c>
      <c r="G3" s="2" t="n">
        <v>3</v>
      </c>
      <c r="H3" s="5" t="n"/>
      <c r="I3" s="3">
        <f>F3*IF(H3="",G3,H3)</f>
        <v/>
      </c>
      <c r="J3" s="2" t="inlineStr">
        <is>
          <t>02/19/2027</t>
        </is>
      </c>
      <c r="K3" s="2" t="inlineStr">
        <is>
          <t>08/12/2026</t>
        </is>
      </c>
      <c r="L3" s="2" t="inlineStr">
        <is>
          <t>810199503677</t>
        </is>
      </c>
    </row>
    <row r="4">
      <c r="A4" s="2" t="inlineStr">
        <is>
          <t>KLENLQH004B</t>
        </is>
      </c>
      <c r="B4" s="2" t="inlineStr">
        <is>
          <t>KAYOU LIMITED: MY LITTLE PONY TCG: SERIES 4 HEARTH'S WARMING EVE BOOSTER (20CT DISPLAY)</t>
        </is>
      </c>
      <c r="C4" s="2" t="inlineStr">
        <is>
          <t>KAYOU LIMITED</t>
        </is>
      </c>
      <c r="D4" s="2" t="inlineStr">
        <is>
          <t>Card Games</t>
        </is>
      </c>
      <c r="E4" s="3" t="n">
        <v>59.8</v>
      </c>
      <c r="F4" s="3" t="n">
        <v>33.75</v>
      </c>
      <c r="G4" s="2" t="n">
        <v>3</v>
      </c>
      <c r="H4" s="5" t="n"/>
      <c r="I4" s="3">
        <f>F4*IF(H4="",G4,H4)</f>
        <v/>
      </c>
      <c r="J4" s="2" t="inlineStr">
        <is>
          <t>10/30/2026</t>
        </is>
      </c>
      <c r="K4" s="2" t="inlineStr">
        <is>
          <t>08/12/2026</t>
        </is>
      </c>
      <c r="L4" s="2" t="inlineStr">
        <is>
          <t>6937187417878</t>
        </is>
      </c>
    </row>
    <row r="5">
      <c r="A5" s="2" t="inlineStr">
        <is>
          <t>PABEOAIMPBB</t>
        </is>
      </c>
      <c r="B5" s="2" t="inlineStr">
        <is>
          <t>ECHOES OF ASTRA TCG: IMPERION BOOSTER (24CT)</t>
        </is>
      </c>
      <c r="C5" s="2" t="inlineStr">
        <is>
          <t>PARHELION STUDIO</t>
        </is>
      </c>
      <c r="D5" s="2" t="inlineStr">
        <is>
          <t>Card Games</t>
        </is>
      </c>
      <c r="E5" s="3" t="n">
        <v>109.99</v>
      </c>
      <c r="F5" s="3" t="n">
        <v>71.84999999999999</v>
      </c>
      <c r="G5" s="2" t="n">
        <v>3</v>
      </c>
      <c r="H5" s="5" t="n"/>
      <c r="I5" s="3">
        <f>F5*IF(H5="",G5,H5)</f>
        <v/>
      </c>
      <c r="J5" s="2" t="inlineStr">
        <is>
          <t>10/30/2026</t>
        </is>
      </c>
      <c r="K5" s="2" t="inlineStr">
        <is>
          <t>08/12/2026</t>
        </is>
      </c>
      <c r="L5" s="2" t="inlineStr">
        <is>
          <t>850081588207</t>
        </is>
      </c>
    </row>
    <row r="6">
      <c r="A6" s="2" t="inlineStr">
        <is>
          <t>SQE864488</t>
        </is>
      </c>
      <c r="B6" s="2" t="inlineStr">
        <is>
          <t>FINAL FANTASY TCG: ORGANIZED PLAY PACK (SEPTEMBER 2026)</t>
        </is>
      </c>
      <c r="C6" s="2" t="inlineStr">
        <is>
          <t>SQUARE ENIX</t>
        </is>
      </c>
      <c r="D6" s="2" t="inlineStr">
        <is>
          <t>Card Games</t>
        </is>
      </c>
      <c r="E6" s="3" t="n">
        <v>0</v>
      </c>
      <c r="F6" s="3" t="n">
        <v>4</v>
      </c>
      <c r="G6" s="2" t="n">
        <v>3</v>
      </c>
      <c r="H6" s="5" t="n"/>
      <c r="I6" s="3">
        <f>F6*IF(H6="",G6,H6)</f>
        <v/>
      </c>
      <c r="J6" s="2" t="inlineStr">
        <is>
          <t>09/01/2026</t>
        </is>
      </c>
      <c r="K6" s="2" t="inlineStr">
        <is>
          <t>08/12/2026</t>
        </is>
      </c>
      <c r="L6" s="2" t="inlineStr">
        <is>
          <t>662248864488</t>
        </is>
      </c>
    </row>
    <row r="7">
      <c r="A7" s="2" t="inlineStr">
        <is>
          <t>GZCGESD03</t>
        </is>
      </c>
      <c r="B7" s="2" t="inlineStr">
        <is>
          <t>GODZILLA CARD GAME: STARTER DECK: BATTLE BEGINS! GODZILLA RED (6CT)</t>
        </is>
      </c>
      <c r="C7" s="2" t="inlineStr">
        <is>
          <t>BUSHIROAD SE-ASIA PTE LTD</t>
        </is>
      </c>
      <c r="D7" s="2" t="inlineStr">
        <is>
          <t>Card Games</t>
        </is>
      </c>
      <c r="E7" s="3" t="n">
        <v>0</v>
      </c>
      <c r="F7" s="3" t="n">
        <v>85</v>
      </c>
      <c r="G7" s="2" t="n">
        <v>3</v>
      </c>
      <c r="H7" s="5" t="n"/>
      <c r="I7" s="3">
        <f>F7*IF(H7="",G7,H7)</f>
        <v/>
      </c>
      <c r="J7" s="2" t="inlineStr">
        <is>
          <t>12/31/2026</t>
        </is>
      </c>
      <c r="K7" s="2" t="inlineStr">
        <is>
          <t>08/12/2026</t>
        </is>
      </c>
      <c r="L7" s="2" t="inlineStr">
        <is>
          <t>4988104179890</t>
        </is>
      </c>
    </row>
    <row r="8">
      <c r="A8" s="2" t="inlineStr">
        <is>
          <t>VGEDZTBP02SP</t>
        </is>
      </c>
      <c r="B8" s="2" t="inlineStr">
        <is>
          <t>CARDFIGHT!! VANGUARD: TITLE BOOSTER PREMIUM: PERSONA 30TH ANNIVERSARY SNEAK PREVIEW KIT</t>
        </is>
      </c>
      <c r="C8" s="2" t="inlineStr">
        <is>
          <t>BUSHIROAD SE-ASIA PTE LTD</t>
        </is>
      </c>
      <c r="D8" s="2" t="inlineStr">
        <is>
          <t>Card Games</t>
        </is>
      </c>
      <c r="E8" s="3" t="n">
        <v>370</v>
      </c>
      <c r="F8" s="3" t="n">
        <v>304</v>
      </c>
      <c r="G8" s="2" t="n">
        <v>3</v>
      </c>
      <c r="H8" s="5" t="n"/>
      <c r="I8" s="3">
        <f>F8*IF(H8="",G8,H8)</f>
        <v/>
      </c>
      <c r="J8" s="2" t="inlineStr">
        <is>
          <t>12/04/2026</t>
        </is>
      </c>
      <c r="K8" s="2" t="inlineStr">
        <is>
          <t>08/12/2026</t>
        </is>
      </c>
      <c r="L8" s="2" t="inlineStr">
        <is>
          <t>8885021123578</t>
        </is>
      </c>
    </row>
    <row r="9">
      <c r="A9" s="2" t="inlineStr">
        <is>
          <t>GZCGESD04</t>
        </is>
      </c>
      <c r="B9" s="2" t="inlineStr">
        <is>
          <t>GODZILLA CARD GAME: STARTER DECK: BATTLE BEGINS! DESTROYAH BLUE (6CT)</t>
        </is>
      </c>
      <c r="C9" s="2" t="inlineStr">
        <is>
          <t>BUSHIROAD SE-ASIA PTE LTD</t>
        </is>
      </c>
      <c r="D9" s="2" t="inlineStr">
        <is>
          <t>Card Games</t>
        </is>
      </c>
      <c r="E9" s="3" t="n">
        <v>0</v>
      </c>
      <c r="F9" s="3" t="n">
        <v>85</v>
      </c>
      <c r="G9" s="2" t="n">
        <v>3</v>
      </c>
      <c r="H9" s="5" t="n"/>
      <c r="I9" s="3">
        <f>F9*IF(H9="",G9,H9)</f>
        <v/>
      </c>
      <c r="J9" s="2" t="inlineStr">
        <is>
          <t>12/31/2026</t>
        </is>
      </c>
      <c r="K9" s="2" t="inlineStr">
        <is>
          <t>08/12/2026</t>
        </is>
      </c>
      <c r="L9" s="2" t="inlineStr">
        <is>
          <t>4988104179913</t>
        </is>
      </c>
    </row>
    <row r="10">
      <c r="A10" s="2" t="inlineStr">
        <is>
          <t>KLENLQH004BD02</t>
        </is>
      </c>
      <c r="B10" s="2" t="inlineStr">
        <is>
          <t>KAYOU LIMITED: MY LITTLE PONY TCG: SERIES 4 HEARTH'S WARMING EVE COLLECTOR BOX</t>
        </is>
      </c>
      <c r="C10" s="2" t="inlineStr">
        <is>
          <t>KAYOU LIMITED</t>
        </is>
      </c>
      <c r="D10" s="2" t="inlineStr">
        <is>
          <t>Card Games</t>
        </is>
      </c>
      <c r="E10" s="3" t="n">
        <v>59.99</v>
      </c>
      <c r="F10" s="3" t="n">
        <v>33.75</v>
      </c>
      <c r="G10" s="2" t="n">
        <v>3</v>
      </c>
      <c r="H10" s="5" t="n"/>
      <c r="I10" s="3">
        <f>F10*IF(H10="",G10,H10)</f>
        <v/>
      </c>
      <c r="J10" s="2" t="inlineStr">
        <is>
          <t>10/30/2026</t>
        </is>
      </c>
      <c r="K10" s="2" t="inlineStr">
        <is>
          <t>08/12/2026</t>
        </is>
      </c>
      <c r="L10" s="2" t="inlineStr">
        <is>
          <t>6937187419742</t>
        </is>
      </c>
    </row>
    <row r="11">
      <c r="A11" s="2" t="inlineStr">
        <is>
          <t>KLENLQH004CP</t>
        </is>
      </c>
      <c r="B11" s="2" t="inlineStr">
        <is>
          <t>KAYOU LIMITED: MY LITTLE PONY TCG: SERIES 4 HEARTH'S WARMING EVE 5-PACK COLLECTOR BUNDLE</t>
        </is>
      </c>
      <c r="C11" s="2" t="inlineStr">
        <is>
          <t>KAYOU LIMITED</t>
        </is>
      </c>
      <c r="D11" s="2" t="inlineStr">
        <is>
          <t>Card Games</t>
        </is>
      </c>
      <c r="E11" s="3" t="n">
        <v>14.99</v>
      </c>
      <c r="F11" s="3" t="n">
        <v>8.449999999999999</v>
      </c>
      <c r="G11" s="2" t="n">
        <v>3</v>
      </c>
      <c r="H11" s="5" t="n"/>
      <c r="I11" s="3">
        <f>F11*IF(H11="",G11,H11)</f>
        <v/>
      </c>
      <c r="J11" s="2" t="inlineStr">
        <is>
          <t>10/30/2026</t>
        </is>
      </c>
      <c r="K11" s="2" t="inlineStr">
        <is>
          <t>08/12/2026</t>
        </is>
      </c>
      <c r="L11" s="2" t="inlineStr">
        <is>
          <t>6937187418073</t>
        </is>
      </c>
    </row>
    <row r="12">
      <c r="A12" s="2" t="inlineStr">
        <is>
          <t>KLENLQH004BD01</t>
        </is>
      </c>
      <c r="B12" s="2" t="inlineStr">
        <is>
          <t>KAYOU LIMITED: MY LITTLE PONY TCG: SERIES 4 HEARTH'S WARMING EVE 10-PACK COLLECTOR BUNDLE</t>
        </is>
      </c>
      <c r="C12" s="2" t="inlineStr">
        <is>
          <t>KAYOU LIMITED</t>
        </is>
      </c>
      <c r="D12" s="2" t="inlineStr">
        <is>
          <t>Card Games</t>
        </is>
      </c>
      <c r="E12" s="3" t="n">
        <v>29.99</v>
      </c>
      <c r="F12" s="3" t="n">
        <v>16.9</v>
      </c>
      <c r="G12" s="2" t="n">
        <v>3</v>
      </c>
      <c r="H12" s="5" t="n"/>
      <c r="I12" s="3">
        <f>F12*IF(H12="",G12,H12)</f>
        <v/>
      </c>
      <c r="J12" s="2" t="inlineStr">
        <is>
          <t>10/30/2026</t>
        </is>
      </c>
      <c r="K12" s="2" t="inlineStr">
        <is>
          <t>08/12/2026</t>
        </is>
      </c>
      <c r="L12" s="2" t="inlineStr">
        <is>
          <t>6937187418097</t>
        </is>
      </c>
    </row>
    <row r="13">
      <c r="A13" s="2" t="inlineStr">
        <is>
          <t>WSETD1FDSX08</t>
        </is>
      </c>
      <c r="B13" s="2" t="inlineStr">
        <is>
          <t>WEISS SCHWARZ: TRIAL DECK: FORBIDDEN DOOR 1: AEW (4CT)</t>
        </is>
      </c>
      <c r="C13" s="2" t="inlineStr">
        <is>
          <t>BUSHIROAD SE-ASIA PTE LTD</t>
        </is>
      </c>
      <c r="D13" s="2" t="inlineStr">
        <is>
          <t>Card Games</t>
        </is>
      </c>
      <c r="E13" s="3" t="n">
        <v>72</v>
      </c>
      <c r="F13" s="3" t="n">
        <v>59.25</v>
      </c>
      <c r="G13" s="2" t="n">
        <v>3</v>
      </c>
      <c r="H13" s="5" t="n"/>
      <c r="I13" s="3">
        <f>F13*IF(H13="",G13,H13)</f>
        <v/>
      </c>
      <c r="J13" s="2" t="inlineStr">
        <is>
          <t>12/04/2026</t>
        </is>
      </c>
      <c r="K13" s="2" t="inlineStr">
        <is>
          <t>08/12/2026</t>
        </is>
      </c>
      <c r="L13" s="2" t="inlineStr">
        <is>
          <t>8885021122342</t>
        </is>
      </c>
    </row>
    <row r="14">
      <c r="A14" s="2" t="inlineStr">
        <is>
          <t>KON87329</t>
        </is>
      </c>
      <c r="B14" s="2" t="inlineStr">
        <is>
          <t>YU-GI-OH CCG: MAGNIFICENT MAESTROS (10CT)</t>
        </is>
      </c>
      <c r="C14" s="2" t="inlineStr">
        <is>
          <t>KONAMI DIGITAL ENTERTAINMENT</t>
        </is>
      </c>
      <c r="D14" s="2" t="inlineStr">
        <is>
          <t>Card Games</t>
        </is>
      </c>
      <c r="E14" s="3" t="n">
        <v>349.9</v>
      </c>
      <c r="F14" s="3" t="n">
        <v>213.1</v>
      </c>
      <c r="G14" s="2" t="n">
        <v>3</v>
      </c>
      <c r="H14" s="5" t="n"/>
      <c r="I14" s="3">
        <f>F14*IF(H14="",G14,H14)</f>
        <v/>
      </c>
      <c r="J14" s="2" t="inlineStr">
        <is>
          <t>11/13/2026</t>
        </is>
      </c>
      <c r="K14" s="2" t="inlineStr">
        <is>
          <t>08/12/2026</t>
        </is>
      </c>
      <c r="L14" s="2" t="inlineStr">
        <is>
          <t>083717873266</t>
        </is>
      </c>
    </row>
    <row r="15">
      <c r="A15" s="2" t="inlineStr">
        <is>
          <t>GZCGESD05</t>
        </is>
      </c>
      <c r="B15" s="2" t="inlineStr">
        <is>
          <t>GODZILLA CARD GAME: STARTER DECK: BATTLE BEGINS! KING GHIDORAH GREEN (6CT)</t>
        </is>
      </c>
      <c r="C15" s="2" t="inlineStr">
        <is>
          <t>BUSHIROAD SE-ASIA PTE LTD</t>
        </is>
      </c>
      <c r="D15" s="2" t="inlineStr">
        <is>
          <t>Card Games</t>
        </is>
      </c>
      <c r="E15" s="3" t="n">
        <v>0</v>
      </c>
      <c r="F15" s="3" t="n">
        <v>85</v>
      </c>
      <c r="G15" s="2" t="n">
        <v>3</v>
      </c>
      <c r="H15" s="5" t="n"/>
      <c r="I15" s="3">
        <f>F15*IF(H15="",G15,H15)</f>
        <v/>
      </c>
      <c r="J15" s="2" t="inlineStr">
        <is>
          <t>12/31/2026</t>
        </is>
      </c>
      <c r="K15" s="2" t="inlineStr">
        <is>
          <t>08/12/2026</t>
        </is>
      </c>
      <c r="L15" s="2" t="inlineStr">
        <is>
          <t>4988104179937</t>
        </is>
      </c>
    </row>
    <row r="16">
      <c r="A16" s="2" t="inlineStr">
        <is>
          <t>BJP2890424</t>
        </is>
      </c>
      <c r="B16" s="2" t="inlineStr">
        <is>
          <t>DRAGON BALL SUPER TCG: FUSION WORLD 13 BOOSTER (FB13) (24CT)</t>
        </is>
      </c>
      <c r="C16" s="2" t="inlineStr">
        <is>
          <t>BANDAI JAPAN</t>
        </is>
      </c>
      <c r="D16" s="2" t="inlineStr">
        <is>
          <t>Card Games</t>
        </is>
      </c>
      <c r="E16" s="3" t="n">
        <v>119.76</v>
      </c>
      <c r="F16" s="3" t="n">
        <v>75.84999999999999</v>
      </c>
      <c r="G16" s="2" t="n">
        <v>3</v>
      </c>
      <c r="H16" s="5" t="n"/>
      <c r="I16" s="3">
        <f>F16*IF(H16="",G16,H16)</f>
        <v/>
      </c>
      <c r="J16" s="2" t="inlineStr">
        <is>
          <t>03/12/2027</t>
        </is>
      </c>
      <c r="K16" s="2" t="inlineStr">
        <is>
          <t>08/12/2026</t>
        </is>
      </c>
      <c r="L16" s="2" t="inlineStr">
        <is>
          <t>810199506104</t>
        </is>
      </c>
    </row>
    <row r="17">
      <c r="A17" s="2" t="inlineStr">
        <is>
          <t>PABEOAIMPSD</t>
        </is>
      </c>
      <c r="B17" s="2" t="inlineStr">
        <is>
          <t>ECHOES OF ASTRA TCG: IMPERION STARTER DECK DISPLAY BUNDLE (9CT ASSORTMENT)</t>
        </is>
      </c>
      <c r="C17" s="2" t="inlineStr">
        <is>
          <t>PARHELION STUDIO</t>
        </is>
      </c>
      <c r="D17" s="2" t="inlineStr">
        <is>
          <t>Card Games</t>
        </is>
      </c>
      <c r="E17" s="3" t="n">
        <v>143.99</v>
      </c>
      <c r="F17" s="3" t="n">
        <v>94.05</v>
      </c>
      <c r="G17" s="2" t="n">
        <v>3</v>
      </c>
      <c r="H17" s="5" t="n"/>
      <c r="I17" s="3">
        <f>F17*IF(H17="",G17,H17)</f>
        <v/>
      </c>
      <c r="J17" s="2" t="inlineStr">
        <is>
          <t>10/30/2026</t>
        </is>
      </c>
      <c r="K17" s="2" t="inlineStr">
        <is>
          <t>08/12/2026</t>
        </is>
      </c>
      <c r="L17" s="2" t="inlineStr">
        <is>
          <t>850081588115</t>
        </is>
      </c>
    </row>
    <row r="18">
      <c r="A18" s="2" t="inlineStr">
        <is>
          <t>VGEDZTBP02</t>
        </is>
      </c>
      <c r="B18" s="2" t="inlineStr">
        <is>
          <t>CARDFIGHT!! VANGUARD: TITLE BOOSTER PREMIUM: PERSONA 30TH ANNIVERSARY (10CT)</t>
        </is>
      </c>
      <c r="C18" s="2" t="inlineStr">
        <is>
          <t>BUSHIROAD SE-ASIA PTE LTD</t>
        </is>
      </c>
      <c r="D18" s="2" t="inlineStr">
        <is>
          <t>Card Games</t>
        </is>
      </c>
      <c r="E18" s="3" t="n">
        <v>75</v>
      </c>
      <c r="F18" s="3" t="n">
        <v>61.5</v>
      </c>
      <c r="G18" s="2" t="n">
        <v>3</v>
      </c>
      <c r="H18" s="5" t="n"/>
      <c r="I18" s="3">
        <f>F18*IF(H18="",G18,H18)</f>
        <v/>
      </c>
      <c r="J18" s="2" t="inlineStr">
        <is>
          <t>12/11/2026</t>
        </is>
      </c>
      <c r="K18" s="2" t="inlineStr">
        <is>
          <t>08/12/2026</t>
        </is>
      </c>
      <c r="L18" s="2" t="inlineStr">
        <is>
          <t>8885021123585</t>
        </is>
      </c>
    </row>
    <row r="19">
      <c r="A19" s="2" t="inlineStr">
        <is>
          <t>BJP2890426</t>
        </is>
      </c>
      <c r="B19" s="2" t="inlineStr">
        <is>
          <t>DRAGON BALL SUPER TCG: FUSION WORLD: STARTER DECK 15: TBA (FS15) (4CT)</t>
        </is>
      </c>
      <c r="C19" s="2" t="inlineStr">
        <is>
          <t>BANDAI JAPAN</t>
        </is>
      </c>
      <c r="D19" s="2" t="inlineStr">
        <is>
          <t>Card Games</t>
        </is>
      </c>
      <c r="E19" s="3" t="n">
        <v>95.95999999999999</v>
      </c>
      <c r="F19" s="3" t="n">
        <v>64</v>
      </c>
      <c r="G19" s="2" t="n">
        <v>3</v>
      </c>
      <c r="H19" s="5" t="n"/>
      <c r="I19" s="3">
        <f>F19*IF(H19="",G19,H19)</f>
        <v/>
      </c>
      <c r="J19" s="2" t="inlineStr">
        <is>
          <t>03/12/2027</t>
        </is>
      </c>
      <c r="K19" s="2" t="inlineStr">
        <is>
          <t>08/12/2026</t>
        </is>
      </c>
      <c r="L19" s="2" t="inlineStr">
        <is>
          <t>810199506159</t>
        </is>
      </c>
    </row>
    <row r="20">
      <c r="A20" s="2" t="inlineStr">
        <is>
          <t>GZCGEBP05</t>
        </is>
      </c>
      <c r="B20" s="2" t="inlineStr">
        <is>
          <t>GODZILLA CARD GAME: BOOSTER SET 5: GODZILLA MINUS ZERO (12CT)</t>
        </is>
      </c>
      <c r="C20" s="2" t="inlineStr">
        <is>
          <t>BUSHIROAD SE-ASIA PTE LTD</t>
        </is>
      </c>
      <c r="D20" s="2" t="inlineStr">
        <is>
          <t>Card Games</t>
        </is>
      </c>
      <c r="E20" s="3" t="n">
        <v>0</v>
      </c>
      <c r="F20" s="3" t="n">
        <v>51.25</v>
      </c>
      <c r="G20" s="2" t="n">
        <v>3</v>
      </c>
      <c r="H20" s="5" t="n"/>
      <c r="I20" s="3">
        <f>F20*IF(H20="",G20,H20)</f>
        <v/>
      </c>
      <c r="J20" s="2" t="inlineStr">
        <is>
          <t>12/31/2026</t>
        </is>
      </c>
      <c r="K20" s="2" t="inlineStr">
        <is>
          <t>08/12/2026</t>
        </is>
      </c>
      <c r="L20" s="2" t="inlineStr">
        <is>
          <t>4988104179951</t>
        </is>
      </c>
    </row>
    <row r="21">
      <c r="A21" s="2" t="inlineStr">
        <is>
          <t>RAV13000002</t>
        </is>
      </c>
      <c r="B21" s="2" t="inlineStr">
        <is>
          <t>DISNEY LORCANA: QUEST OF WONDERS- AN ILLUMINEER'S LOREBOOK</t>
        </is>
      </c>
      <c r="C21" s="2" t="inlineStr">
        <is>
          <t>RAVENSBURGER</t>
        </is>
      </c>
      <c r="D21" s="2" t="inlineStr">
        <is>
          <t>Card Games</t>
        </is>
      </c>
      <c r="E21" s="3" t="n">
        <v>39.99</v>
      </c>
      <c r="F21" s="3" t="n">
        <v>22.5</v>
      </c>
      <c r="G21" s="2" t="n">
        <v>3</v>
      </c>
      <c r="H21" s="5" t="n"/>
      <c r="I21" s="3">
        <f>F21*IF(H21="",G21,H21)</f>
        <v/>
      </c>
      <c r="J21" s="2" t="inlineStr">
        <is>
          <t>09/01/2026</t>
        </is>
      </c>
      <c r="K21" s="2" t="inlineStr">
        <is>
          <t>08/12/2026</t>
        </is>
      </c>
      <c r="L21" s="2" t="inlineStr">
        <is>
          <t>9783380000020</t>
        </is>
      </c>
    </row>
    <row r="22">
      <c r="A22" s="2" t="inlineStr">
        <is>
          <t>WSETD2FDSX08</t>
        </is>
      </c>
      <c r="B22" s="2" t="inlineStr">
        <is>
          <t>WEISS SCHWARZ: TRIAL DECK: FORBIDDEN DOOR 2: NJPW (4CT)</t>
        </is>
      </c>
      <c r="C22" s="2" t="inlineStr">
        <is>
          <t>BUSHIROAD SE-ASIA PTE LTD</t>
        </is>
      </c>
      <c r="D22" s="2" t="inlineStr">
        <is>
          <t>Card Games</t>
        </is>
      </c>
      <c r="E22" s="3" t="n">
        <v>72</v>
      </c>
      <c r="F22" s="3" t="n">
        <v>59.25</v>
      </c>
      <c r="G22" s="2" t="n">
        <v>3</v>
      </c>
      <c r="H22" s="5" t="n"/>
      <c r="I22" s="3">
        <f>F22*IF(H22="",G22,H22)</f>
        <v/>
      </c>
      <c r="J22" s="2" t="inlineStr">
        <is>
          <t>12/04/2026</t>
        </is>
      </c>
      <c r="K22" s="2" t="inlineStr">
        <is>
          <t>08/12/2026</t>
        </is>
      </c>
      <c r="L22" s="2" t="inlineStr">
        <is>
          <t>8885021122984</t>
        </is>
      </c>
    </row>
    <row r="23">
      <c r="A23" s="2" t="inlineStr">
        <is>
          <t>RAV0117</t>
        </is>
      </c>
      <c r="B23" s="2" t="inlineStr">
        <is>
          <t>LORCANA: SET 14: HYPERIA CITY: PRE-RELEASE BOX (12CT CASE)</t>
        </is>
      </c>
      <c r="C23" s="2" t="inlineStr">
        <is>
          <t>RAVENSBURGER</t>
        </is>
      </c>
      <c r="D23" s="2" t="inlineStr">
        <is>
          <t>Card Games</t>
        </is>
      </c>
      <c r="E23" s="3" t="n">
        <v>479.88</v>
      </c>
      <c r="F23" s="3" t="n">
        <v>300</v>
      </c>
      <c r="G23" s="2" t="n">
        <v>3</v>
      </c>
      <c r="H23" s="5" t="n"/>
      <c r="I23" s="3">
        <f>F23*IF(H23="",G23,H23)</f>
        <v/>
      </c>
      <c r="J23" s="2" t="inlineStr">
        <is>
          <t>10/16/2026</t>
        </is>
      </c>
      <c r="K23" s="2" t="inlineStr">
        <is>
          <t>08/19/2026</t>
        </is>
      </c>
      <c r="L23" s="2" t="inlineStr">
        <is>
          <t>34050368901171</t>
        </is>
      </c>
    </row>
    <row r="24">
      <c r="A24" s="2" t="inlineStr">
        <is>
          <t>RAV0098</t>
        </is>
      </c>
      <c r="B24" s="2" t="inlineStr">
        <is>
          <t>LORCANA: SET 14: HYPERIA CITY: BOOSTER DISPLAY (24CT)</t>
        </is>
      </c>
      <c r="C24" s="2" t="inlineStr">
        <is>
          <t>RAVENSBURGER</t>
        </is>
      </c>
      <c r="D24" s="2" t="inlineStr">
        <is>
          <t>Card Games</t>
        </is>
      </c>
      <c r="E24" s="3" t="n">
        <v>143.76</v>
      </c>
      <c r="F24" s="3" t="n">
        <v>90</v>
      </c>
      <c r="G24" s="2" t="n">
        <v>3</v>
      </c>
      <c r="H24" s="5" t="n"/>
      <c r="I24" s="3">
        <f>F24*IF(H24="",G24,H24)</f>
        <v/>
      </c>
      <c r="J24" s="2" t="inlineStr">
        <is>
          <t>10/23/2026</t>
        </is>
      </c>
      <c r="K24" s="2" t="inlineStr">
        <is>
          <t>08/19/2026</t>
        </is>
      </c>
      <c r="L24" s="2" t="inlineStr">
        <is>
          <t>34050368900983</t>
        </is>
      </c>
    </row>
    <row r="25">
      <c r="A25" s="2" t="inlineStr">
        <is>
          <t>UVSRB05VB01EN</t>
        </is>
      </c>
      <c r="B25" s="2" t="inlineStr">
        <is>
          <t>RIFTBOUND TCG: LEAGUE OF LEGENDS: SET 5 RADIANCE: THE RADIANCE VAULT</t>
        </is>
      </c>
      <c r="C25" s="2" t="inlineStr">
        <is>
          <t>UVS GAMES</t>
        </is>
      </c>
      <c r="D25" s="2" t="inlineStr">
        <is>
          <t>Card Games</t>
        </is>
      </c>
      <c r="E25" s="3" t="n">
        <v>34.99</v>
      </c>
      <c r="F25" s="3" t="n">
        <v>20.55</v>
      </c>
      <c r="G25" s="2" t="n">
        <v>3</v>
      </c>
      <c r="H25" s="5" t="n"/>
      <c r="I25" s="3">
        <f>F25*IF(H25="",G25,H25)</f>
        <v/>
      </c>
      <c r="J25" s="2" t="inlineStr">
        <is>
          <t>10/23/2026</t>
        </is>
      </c>
      <c r="K25" s="2" t="inlineStr">
        <is>
          <t>08/19/2026</t>
        </is>
      </c>
      <c r="L25" s="2" t="inlineStr">
        <is>
          <t>810155276287</t>
        </is>
      </c>
    </row>
    <row r="26">
      <c r="A26" s="2" t="inlineStr">
        <is>
          <t>BJP2894414</t>
        </is>
      </c>
      <c r="B26" s="2" t="inlineStr">
        <is>
          <t>UNION ARENA CARD GAME: BOOSTER PACK: D.GRAY-MAN (UE28BT) (16CT)</t>
        </is>
      </c>
      <c r="C26" s="2" t="inlineStr">
        <is>
          <t>BANDAI JAPAN</t>
        </is>
      </c>
      <c r="D26" s="2" t="inlineStr">
        <is>
          <t>Card Games</t>
        </is>
      </c>
      <c r="E26" s="3" t="n">
        <v>79.84</v>
      </c>
      <c r="F26" s="3" t="n">
        <v>50.55</v>
      </c>
      <c r="G26" s="2" t="n">
        <v>3</v>
      </c>
      <c r="H26" s="5" t="n"/>
      <c r="I26" s="3">
        <f>F26*IF(H26="",G26,H26)</f>
        <v/>
      </c>
      <c r="J26" s="2" t="inlineStr">
        <is>
          <t>03/19/2027</t>
        </is>
      </c>
      <c r="K26" s="2" t="inlineStr">
        <is>
          <t>08/19/2026</t>
        </is>
      </c>
      <c r="L26" s="2" t="inlineStr">
        <is>
          <t>810199507040</t>
        </is>
      </c>
    </row>
    <row r="27">
      <c r="A27" s="2" t="inlineStr">
        <is>
          <t>RAV0093</t>
        </is>
      </c>
      <c r="B27" s="2" t="inlineStr">
        <is>
          <t>LORCANA: TWO-PLAYER DECK: TBA-1 AND TBA2 (4CT CASE)</t>
        </is>
      </c>
      <c r="C27" s="2" t="inlineStr">
        <is>
          <t>RAVENSBURGER</t>
        </is>
      </c>
      <c r="D27" s="2" t="inlineStr">
        <is>
          <t>Card Games</t>
        </is>
      </c>
      <c r="E27" s="3" t="n">
        <v>119.96</v>
      </c>
      <c r="F27" s="3" t="n">
        <v>75</v>
      </c>
      <c r="G27" s="2" t="n">
        <v>3</v>
      </c>
      <c r="H27" s="5" t="n"/>
      <c r="I27" s="3">
        <f>F27*IF(H27="",G27,H27)</f>
        <v/>
      </c>
      <c r="J27" s="2" t="inlineStr">
        <is>
          <t>10/23/2026</t>
        </is>
      </c>
      <c r="K27" s="2" t="inlineStr">
        <is>
          <t>08/19/2026</t>
        </is>
      </c>
      <c r="L27" s="2" t="inlineStr">
        <is>
          <t>34050368900938</t>
        </is>
      </c>
    </row>
    <row r="28">
      <c r="A28" s="2" t="inlineStr">
        <is>
          <t>UVSRB05RK01EN</t>
        </is>
      </c>
      <c r="B28" s="2" t="inlineStr">
        <is>
          <t>RIFTBOUND TCG: LEAGUE OF LEGENDS: SET 5 RADIANCE PRE-RIFT EVENT KIT (16CT CASE)</t>
        </is>
      </c>
      <c r="C28" s="2" t="inlineStr">
        <is>
          <t>UVS GAMES</t>
        </is>
      </c>
      <c r="D28" s="2" t="inlineStr">
        <is>
          <t>Card Games</t>
        </is>
      </c>
      <c r="E28" s="3" t="n">
        <v>480</v>
      </c>
      <c r="F28" s="3" t="n">
        <v>282</v>
      </c>
      <c r="G28" s="2" t="n">
        <v>3</v>
      </c>
      <c r="H28" s="5" t="n"/>
      <c r="I28" s="3">
        <f>F28*IF(H28="",G28,H28)</f>
        <v/>
      </c>
      <c r="J28" s="2" t="inlineStr">
        <is>
          <t>10/16/2026</t>
        </is>
      </c>
      <c r="K28" s="2" t="inlineStr">
        <is>
          <t>08/19/2026</t>
        </is>
      </c>
      <c r="L28" s="2" t="inlineStr">
        <is>
          <t>810155276300</t>
        </is>
      </c>
    </row>
    <row r="29">
      <c r="A29" s="2" t="inlineStr">
        <is>
          <t>RAV0113</t>
        </is>
      </c>
      <c r="B29" s="2" t="inlineStr">
        <is>
          <t>LORCANA: SET 14: HYPERIA CITY: ILLUMINEER'S TROVE</t>
        </is>
      </c>
      <c r="C29" s="2" t="inlineStr">
        <is>
          <t>RAVENSBURGER</t>
        </is>
      </c>
      <c r="D29" s="2" t="inlineStr">
        <is>
          <t>Card Games</t>
        </is>
      </c>
      <c r="E29" s="3" t="n">
        <v>49.99</v>
      </c>
      <c r="F29" s="3" t="n">
        <v>31.25</v>
      </c>
      <c r="G29" s="2" t="n">
        <v>3</v>
      </c>
      <c r="H29" s="5" t="n"/>
      <c r="I29" s="3">
        <f>F29*IF(H29="",G29,H29)</f>
        <v/>
      </c>
      <c r="J29" s="2" t="inlineStr">
        <is>
          <t>10/23/2026</t>
        </is>
      </c>
      <c r="K29" s="2" t="inlineStr">
        <is>
          <t>08/19/2026</t>
        </is>
      </c>
      <c r="L29" s="2" t="inlineStr">
        <is>
          <t>34050368901133</t>
        </is>
      </c>
    </row>
    <row r="30">
      <c r="A30" s="2" t="inlineStr">
        <is>
          <t>UVSRB05SD01EN</t>
        </is>
      </c>
      <c r="B30" s="2" t="inlineStr">
        <is>
          <t>RIFTBOUND TCG: LEAGUE OF LEGENDS: SET 5 RADIANCE SHOWDOWN DECKS: EVELYNN VERSUS SERAPHINE (4CT DISPLAY)</t>
        </is>
      </c>
      <c r="C30" s="2" t="inlineStr">
        <is>
          <t>UVS GAMES</t>
        </is>
      </c>
      <c r="D30" s="2" t="inlineStr">
        <is>
          <t>Card Games</t>
        </is>
      </c>
      <c r="E30" s="3" t="n">
        <v>139.96</v>
      </c>
      <c r="F30" s="3" t="n">
        <v>82.2</v>
      </c>
      <c r="G30" s="2" t="n">
        <v>3</v>
      </c>
      <c r="H30" s="5" t="n"/>
      <c r="I30" s="3">
        <f>F30*IF(H30="",G30,H30)</f>
        <v/>
      </c>
      <c r="J30" s="2" t="inlineStr">
        <is>
          <t>10/23/2026</t>
        </is>
      </c>
      <c r="K30" s="2" t="inlineStr">
        <is>
          <t>08/19/2026</t>
        </is>
      </c>
      <c r="L30" s="2" t="inlineStr">
        <is>
          <t>810155276263</t>
        </is>
      </c>
    </row>
    <row r="31">
      <c r="A31" s="2" t="inlineStr">
        <is>
          <t>RAV0038</t>
        </is>
      </c>
      <c r="B31" s="2" t="inlineStr">
        <is>
          <t>LORCANA: SET 13 ATTACK OF THE VINE!: ILLUMINEER'S QUEST: GREAT HUNNY RESCUE</t>
        </is>
      </c>
      <c r="C31" s="2" t="inlineStr">
        <is>
          <t>RAVENSBURGER</t>
        </is>
      </c>
      <c r="D31" s="2" t="inlineStr">
        <is>
          <t>Card Games</t>
        </is>
      </c>
      <c r="E31" s="3" t="n">
        <v>59.99</v>
      </c>
      <c r="F31" s="3" t="n">
        <v>37.5</v>
      </c>
      <c r="G31" s="2" t="n">
        <v>3</v>
      </c>
      <c r="H31" s="5" t="n"/>
      <c r="I31" s="3">
        <f>F31*IF(H31="",G31,H31)</f>
        <v/>
      </c>
      <c r="J31" s="2" t="inlineStr">
        <is>
          <t>10/02/2026</t>
        </is>
      </c>
      <c r="K31" s="2" t="inlineStr">
        <is>
          <t>08/19/2026</t>
        </is>
      </c>
      <c r="L31" s="2" t="inlineStr">
        <is>
          <t>34050368900389</t>
        </is>
      </c>
    </row>
    <row r="32">
      <c r="A32" s="2" t="inlineStr">
        <is>
          <t>PKU10681</t>
        </is>
      </c>
      <c r="B32" s="2" t="inlineStr">
        <is>
          <t>POKEMON TCG: DECK CRAFTER'S COLLECTION (2026) (12CT CASE)</t>
        </is>
      </c>
      <c r="C32" s="2" t="inlineStr">
        <is>
          <t>POKEMON COMPANY INT</t>
        </is>
      </c>
      <c r="D32" s="2" t="inlineStr">
        <is>
          <t>Card Games</t>
        </is>
      </c>
      <c r="E32" s="3" t="n">
        <v>119.88</v>
      </c>
      <c r="F32" s="3" t="n">
        <v>83.25</v>
      </c>
      <c r="G32" s="2" t="n">
        <v>3</v>
      </c>
      <c r="H32" s="5" t="n"/>
      <c r="I32" s="3">
        <f>F32*IF(H32="",G32,H32)</f>
        <v/>
      </c>
      <c r="J32" s="2" t="inlineStr">
        <is>
          <t>10/23/2026</t>
        </is>
      </c>
      <c r="K32" s="2" t="inlineStr">
        <is>
          <t>08/19/2026</t>
        </is>
      </c>
      <c r="L32" s="2" t="inlineStr">
        <is>
          <t>0196214156647</t>
        </is>
      </c>
    </row>
    <row r="33">
      <c r="A33" s="2" t="inlineStr">
        <is>
          <t>UVSRB05BD01EN</t>
        </is>
      </c>
      <c r="B33" s="2" t="inlineStr">
        <is>
          <t>RIFTBOUND TCG: LEAGUE OF LEGENDS: SET 5 RADIANCE BOOSTER DISPLAY (24CT)</t>
        </is>
      </c>
      <c r="C33" s="2" t="inlineStr">
        <is>
          <t>UVS GAMES</t>
        </is>
      </c>
      <c r="D33" s="2" t="inlineStr">
        <is>
          <t>Card Games</t>
        </is>
      </c>
      <c r="E33" s="3" t="n">
        <v>120</v>
      </c>
      <c r="F33" s="3" t="n">
        <v>70.5</v>
      </c>
      <c r="G33" s="2" t="n">
        <v>3</v>
      </c>
      <c r="H33" s="5" t="n"/>
      <c r="I33" s="3">
        <f>F33*IF(H33="",G33,H33)</f>
        <v/>
      </c>
      <c r="J33" s="2" t="inlineStr">
        <is>
          <t>10/23/2026</t>
        </is>
      </c>
      <c r="K33" s="2" t="inlineStr">
        <is>
          <t>08/19/2026</t>
        </is>
      </c>
      <c r="L33" s="2" t="inlineStr">
        <is>
          <t>810155276201</t>
        </is>
      </c>
    </row>
    <row r="34">
      <c r="A34" s="2" t="inlineStr">
        <is>
          <t>RAV0064</t>
        </is>
      </c>
      <c r="B34" s="2" t="inlineStr">
        <is>
          <t>LORCANA: SET 14: HYPERIA CITY: BEAST GIFT BOX</t>
        </is>
      </c>
      <c r="C34" s="2" t="inlineStr">
        <is>
          <t>RAVENSBURGER</t>
        </is>
      </c>
      <c r="D34" s="2" t="inlineStr">
        <is>
          <t>Card Games</t>
        </is>
      </c>
      <c r="E34" s="3" t="n">
        <v>29.99</v>
      </c>
      <c r="F34" s="3" t="n">
        <v>18.75</v>
      </c>
      <c r="G34" s="2" t="n">
        <v>3</v>
      </c>
      <c r="H34" s="5" t="n"/>
      <c r="I34" s="3">
        <f>F34*IF(H34="",G34,H34)</f>
        <v/>
      </c>
      <c r="J34" s="2" t="inlineStr">
        <is>
          <t>11/13/2026</t>
        </is>
      </c>
      <c r="K34" s="2" t="inlineStr">
        <is>
          <t>08/19/2026</t>
        </is>
      </c>
      <c r="L34" s="2" t="inlineStr">
        <is>
          <t>34050368900648</t>
        </is>
      </c>
    </row>
    <row r="35">
      <c r="A35" s="2" t="inlineStr">
        <is>
          <t>WOCD5925</t>
        </is>
      </c>
      <c r="B35" s="2" t="inlineStr">
        <is>
          <t>MAGIC THE GATHERING: FRA REALITY FRACTURE COMMANDER DECKS (4CT)</t>
        </is>
      </c>
      <c r="C35" s="2" t="inlineStr">
        <is>
          <t>WIZARDS OF THE COAST</t>
        </is>
      </c>
      <c r="D35" s="2" t="inlineStr">
        <is>
          <t>Card Games</t>
        </is>
      </c>
      <c r="E35" s="3" t="n">
        <v>199.96</v>
      </c>
      <c r="F35" s="3" t="n">
        <v>124</v>
      </c>
      <c r="G35" s="2" t="n">
        <v>3</v>
      </c>
      <c r="H35" s="5" t="n"/>
      <c r="I35" s="3">
        <f>F35*IF(H35="",G35,H35)</f>
        <v/>
      </c>
      <c r="J35" s="2" t="inlineStr">
        <is>
          <t>10/02/2026</t>
        </is>
      </c>
      <c r="K35" s="2" t="inlineStr">
        <is>
          <t>08/26/2026</t>
        </is>
      </c>
      <c r="L35" s="2" t="inlineStr"/>
    </row>
    <row r="36">
      <c r="A36" s="2" t="inlineStr">
        <is>
          <t>WOCD5929</t>
        </is>
      </c>
      <c r="B36" s="2" t="inlineStr">
        <is>
          <t>MAGIC THE GATHERING: FRA REALITY FRACTURE DRAFT NIGHT</t>
        </is>
      </c>
      <c r="C36" s="2" t="inlineStr">
        <is>
          <t>WIZARDS OF THE COAST</t>
        </is>
      </c>
      <c r="D36" s="2" t="inlineStr">
        <is>
          <t>Card Games</t>
        </is>
      </c>
      <c r="E36" s="3" t="n">
        <v>89.98999999999999</v>
      </c>
      <c r="F36" s="3" t="n">
        <v>60.7</v>
      </c>
      <c r="G36" s="2" t="n">
        <v>3</v>
      </c>
      <c r="H36" s="5" t="n"/>
      <c r="I36" s="3">
        <f>F36*IF(H36="",G36,H36)</f>
        <v/>
      </c>
      <c r="J36" s="2" t="inlineStr">
        <is>
          <t>10/02/2026</t>
        </is>
      </c>
      <c r="K36" s="2" t="inlineStr">
        <is>
          <t>08/26/2026</t>
        </is>
      </c>
      <c r="L36" s="2" t="inlineStr"/>
    </row>
    <row r="37">
      <c r="A37" s="2" t="inlineStr">
        <is>
          <t>WOCD5922</t>
        </is>
      </c>
      <c r="B37" s="2" t="inlineStr">
        <is>
          <t>MAGIC THE GATHERING: FRA REALITY FRACTURE COLLECTOR BOOSTER (12CT)</t>
        </is>
      </c>
      <c r="C37" s="2" t="inlineStr">
        <is>
          <t>WIZARDS OF THE COAST</t>
        </is>
      </c>
      <c r="D37" s="2" t="inlineStr">
        <is>
          <t>Card Games</t>
        </is>
      </c>
      <c r="E37" s="3" t="n">
        <v>323.88</v>
      </c>
      <c r="F37" s="3" t="n">
        <v>205</v>
      </c>
      <c r="G37" s="2" t="n">
        <v>3</v>
      </c>
      <c r="H37" s="5" t="n"/>
      <c r="I37" s="3">
        <f>F37*IF(H37="",G37,H37)</f>
        <v/>
      </c>
      <c r="J37" s="2" t="inlineStr">
        <is>
          <t>10/02/2026</t>
        </is>
      </c>
      <c r="K37" s="2" t="inlineStr">
        <is>
          <t>08/26/2026</t>
        </is>
      </c>
      <c r="L37" s="2" t="inlineStr"/>
    </row>
    <row r="38">
      <c r="A38" s="2" t="inlineStr">
        <is>
          <t>BJP2908265</t>
        </is>
      </c>
      <c r="B38" s="2" t="inlineStr">
        <is>
          <t>ONE PIECE TCG DOUBLE PACK SET VOLUME 14 (DP-14) (8CT)</t>
        </is>
      </c>
      <c r="C38" s="2" t="inlineStr">
        <is>
          <t>BANDAI JAPAN</t>
        </is>
      </c>
      <c r="D38" s="2" t="inlineStr">
        <is>
          <t>Card Games</t>
        </is>
      </c>
      <c r="E38" s="3" t="n">
        <v>95.92</v>
      </c>
      <c r="F38" s="3" t="n">
        <v>64</v>
      </c>
      <c r="G38" s="2" t="n">
        <v>3</v>
      </c>
      <c r="H38" s="5" t="n"/>
      <c r="I38" s="3">
        <f>F38*IF(H38="",G38,H38)</f>
        <v/>
      </c>
      <c r="J38" s="2" t="inlineStr">
        <is>
          <t>03/05/2027</t>
        </is>
      </c>
      <c r="K38" s="2" t="inlineStr">
        <is>
          <t>08/26/2026</t>
        </is>
      </c>
      <c r="L38" s="2" t="inlineStr">
        <is>
          <t>810199508511</t>
        </is>
      </c>
    </row>
    <row r="39">
      <c r="A39" s="2" t="inlineStr">
        <is>
          <t>WOCD5920</t>
        </is>
      </c>
      <c r="B39" s="2" t="inlineStr">
        <is>
          <t>MAGIC THE GATHERING: FRA REALITY FRACTURE PLAY BOOSTER (30CT)</t>
        </is>
      </c>
      <c r="C39" s="2" t="inlineStr">
        <is>
          <t>WIZARDS OF THE COAST</t>
        </is>
      </c>
      <c r="D39" s="2" t="inlineStr">
        <is>
          <t>Card Games</t>
        </is>
      </c>
      <c r="E39" s="3" t="n">
        <v>164.7</v>
      </c>
      <c r="F39" s="3" t="n">
        <v>99.3</v>
      </c>
      <c r="G39" s="2" t="n">
        <v>3</v>
      </c>
      <c r="H39" s="5" t="n"/>
      <c r="I39" s="3">
        <f>F39*IF(H39="",G39,H39)</f>
        <v/>
      </c>
      <c r="J39" s="2" t="inlineStr">
        <is>
          <t>10/02/2026</t>
        </is>
      </c>
      <c r="K39" s="2" t="inlineStr">
        <is>
          <t>08/26/2026</t>
        </is>
      </c>
      <c r="L39" s="2" t="inlineStr"/>
    </row>
    <row r="40">
      <c r="A40" s="2" t="inlineStr">
        <is>
          <t>WOCD5931</t>
        </is>
      </c>
      <c r="B40" s="2" t="inlineStr">
        <is>
          <t>MAGIC THE GATHERING: FDN FOUNDATIONS COMMANDER DECK (5CT)</t>
        </is>
      </c>
      <c r="C40" s="2" t="inlineStr">
        <is>
          <t>WIZARDS OF THE COAST</t>
        </is>
      </c>
      <c r="D40" s="2" t="inlineStr">
        <is>
          <t>Card Games</t>
        </is>
      </c>
      <c r="E40" s="3" t="n">
        <v>149.95</v>
      </c>
      <c r="F40" s="3" t="n">
        <v>88</v>
      </c>
      <c r="G40" s="2" t="n">
        <v>3</v>
      </c>
      <c r="H40" s="5" t="n"/>
      <c r="I40" s="3">
        <f>F40*IF(H40="",G40,H40)</f>
        <v/>
      </c>
      <c r="J40" s="2" t="inlineStr">
        <is>
          <t>10/02/2026</t>
        </is>
      </c>
      <c r="K40" s="2" t="inlineStr">
        <is>
          <t>08/26/2026</t>
        </is>
      </c>
      <c r="L40" s="2" t="inlineStr">
        <is>
          <t>195166337807</t>
        </is>
      </c>
    </row>
    <row r="41">
      <c r="A41" s="2" t="inlineStr">
        <is>
          <t>UVSSF623AD</t>
        </is>
      </c>
      <c r="B41" s="2" t="inlineStr">
        <is>
          <t>UNIVERSUS CCG: CHALLENGER SERIES (SERIES 2): STREET FIGHTER 6 (4CT DISPLAY ASSORTMENT)</t>
        </is>
      </c>
      <c r="C41" s="2" t="inlineStr">
        <is>
          <t>UVS GAMES</t>
        </is>
      </c>
      <c r="D41" s="2" t="inlineStr">
        <is>
          <t>Card Games</t>
        </is>
      </c>
      <c r="E41" s="3" t="n">
        <v>139.96</v>
      </c>
      <c r="F41" s="3" t="n">
        <v>78.7</v>
      </c>
      <c r="G41" s="2" t="n">
        <v>3</v>
      </c>
      <c r="H41" s="5" t="n"/>
      <c r="I41" s="3">
        <f>F41*IF(H41="",G41,H41)</f>
        <v/>
      </c>
      <c r="J41" s="2" t="inlineStr">
        <is>
          <t>10/02/2026</t>
        </is>
      </c>
      <c r="K41" s="2" t="inlineStr">
        <is>
          <t>08/26/2026</t>
        </is>
      </c>
      <c r="L41" s="2" t="inlineStr">
        <is>
          <t>810155274818</t>
        </is>
      </c>
    </row>
    <row r="42">
      <c r="A42" s="2" t="inlineStr">
        <is>
          <t>WOCD5928</t>
        </is>
      </c>
      <c r="B42" s="2" t="inlineStr">
        <is>
          <t>MAGIC THE GATHERING: FRA REALITY FRACTURE SECRET LAIR BUNDLE</t>
        </is>
      </c>
      <c r="C42" s="2" t="inlineStr">
        <is>
          <t>WIZARDS OF THE COAST</t>
        </is>
      </c>
      <c r="D42" s="2" t="inlineStr">
        <is>
          <t>Card Games</t>
        </is>
      </c>
      <c r="E42" s="3" t="n">
        <v>89.98999999999999</v>
      </c>
      <c r="F42" s="3" t="n">
        <v>58.65</v>
      </c>
      <c r="G42" s="2" t="n">
        <v>3</v>
      </c>
      <c r="H42" s="5" t="n"/>
      <c r="I42" s="3">
        <f>F42*IF(H42="",G42,H42)</f>
        <v/>
      </c>
      <c r="J42" s="2" t="inlineStr">
        <is>
          <t>10/23/2026</t>
        </is>
      </c>
      <c r="K42" s="2" t="inlineStr">
        <is>
          <t>08/26/2026</t>
        </is>
      </c>
      <c r="L42" s="2" t="inlineStr"/>
    </row>
    <row r="43">
      <c r="A43" s="2" t="inlineStr">
        <is>
          <t>WOCD5926</t>
        </is>
      </c>
      <c r="B43" s="2" t="inlineStr">
        <is>
          <t>MAGIC THE GATHERING: FRA REALITY FRACTURE BUNDLE</t>
        </is>
      </c>
      <c r="C43" s="2" t="inlineStr">
        <is>
          <t>WIZARDS OF THE COAST</t>
        </is>
      </c>
      <c r="D43" s="2" t="inlineStr">
        <is>
          <t>Card Games</t>
        </is>
      </c>
      <c r="E43" s="3" t="n">
        <v>57.99</v>
      </c>
      <c r="F43" s="3" t="n">
        <v>34</v>
      </c>
      <c r="G43" s="2" t="n">
        <v>3</v>
      </c>
      <c r="H43" s="5" t="n"/>
      <c r="I43" s="3">
        <f>F43*IF(H43="",G43,H43)</f>
        <v/>
      </c>
      <c r="J43" s="2" t="inlineStr">
        <is>
          <t>10/02/2026</t>
        </is>
      </c>
      <c r="K43" s="2" t="inlineStr">
        <is>
          <t>08/26/2026</t>
        </is>
      </c>
      <c r="L43" s="2" t="inlineStr"/>
    </row>
    <row r="44">
      <c r="A44" s="2" t="inlineStr">
        <is>
          <t>BJP2884797</t>
        </is>
      </c>
      <c r="B44" s="2" t="inlineStr">
        <is>
          <t>ONE PIECE TCG: (TITLE TBA) BOOSTER (OP-19) (24CT)</t>
        </is>
      </c>
      <c r="C44" s="2" t="inlineStr">
        <is>
          <t>BANDAI JAPAN</t>
        </is>
      </c>
      <c r="D44" s="2" t="inlineStr">
        <is>
          <t>Card Games</t>
        </is>
      </c>
      <c r="E44" s="3" t="n">
        <v>119.76</v>
      </c>
      <c r="F44" s="3" t="n">
        <v>75.84999999999999</v>
      </c>
      <c r="G44" s="2" t="n">
        <v>3</v>
      </c>
      <c r="H44" s="5" t="n"/>
      <c r="I44" s="3">
        <f>F44*IF(H44="",G44,H44)</f>
        <v/>
      </c>
      <c r="J44" s="2" t="inlineStr">
        <is>
          <t>03/05/2027</t>
        </is>
      </c>
      <c r="K44" s="2" t="inlineStr">
        <is>
          <t>08/26/2026</t>
        </is>
      </c>
      <c r="L44" s="2" t="inlineStr">
        <is>
          <t>810199505343</t>
        </is>
      </c>
    </row>
    <row r="45">
      <c r="A45" s="2" t="inlineStr">
        <is>
          <t>WOCD5899</t>
        </is>
      </c>
      <c r="B45" s="2" t="inlineStr">
        <is>
          <t>MAGIC THE GATHERING: TRK STAR TREK COMMANDER (4CT)</t>
        </is>
      </c>
      <c r="C45" s="2" t="inlineStr">
        <is>
          <t>WIZARDS OF THE COAST</t>
        </is>
      </c>
      <c r="D45" s="2" t="inlineStr">
        <is>
          <t>Card Games</t>
        </is>
      </c>
      <c r="E45" s="3" t="n">
        <v>299.96</v>
      </c>
      <c r="F45" s="3" t="n">
        <v>181.75</v>
      </c>
      <c r="G45" s="2" t="n">
        <v>3</v>
      </c>
      <c r="H45" s="5" t="n"/>
      <c r="I45" s="3">
        <f>F45*IF(H45="",G45,H45)</f>
        <v/>
      </c>
      <c r="J45" s="2" t="inlineStr">
        <is>
          <t>11/13/2026</t>
        </is>
      </c>
      <c r="K45" s="2" t="inlineStr">
        <is>
          <t>09/30/2026</t>
        </is>
      </c>
      <c r="L45" s="2" t="inlineStr">
        <is>
          <t>195166335971</t>
        </is>
      </c>
    </row>
    <row r="46">
      <c r="A46" s="2" t="inlineStr">
        <is>
          <t>WOCD5904</t>
        </is>
      </c>
      <c r="B46" s="2" t="inlineStr">
        <is>
          <t>MAGIC THE GATHERING: TRK STAR TREK SCENE BOX (4CT INNER CARTON)</t>
        </is>
      </c>
      <c r="C46" s="2" t="inlineStr">
        <is>
          <t>WIZARDS OF THE COAST</t>
        </is>
      </c>
      <c r="D46" s="2" t="inlineStr">
        <is>
          <t>Card Games</t>
        </is>
      </c>
      <c r="E46" s="3" t="n">
        <v>167.96</v>
      </c>
      <c r="F46" s="3" t="n">
        <v>98.5</v>
      </c>
      <c r="G46" s="2" t="n">
        <v>3</v>
      </c>
      <c r="H46" s="5" t="n"/>
      <c r="I46" s="3">
        <f>F46*IF(H46="",G46,H46)</f>
        <v/>
      </c>
      <c r="J46" s="2" t="inlineStr">
        <is>
          <t>11/13/2026</t>
        </is>
      </c>
      <c r="K46" s="2" t="inlineStr">
        <is>
          <t>09/30/2026</t>
        </is>
      </c>
      <c r="L46" s="2" t="inlineStr">
        <is>
          <t>195166336626</t>
        </is>
      </c>
    </row>
    <row r="47">
      <c r="A47" s="2" t="inlineStr">
        <is>
          <t>WOCD5905</t>
        </is>
      </c>
      <c r="B47" s="2" t="inlineStr">
        <is>
          <t>MAGIC THE GATHERING: TRK STAR TREK BEGINNER BOX</t>
        </is>
      </c>
      <c r="C47" s="2" t="inlineStr">
        <is>
          <t>WIZARDS OF THE COAST</t>
        </is>
      </c>
      <c r="D47" s="2" t="inlineStr">
        <is>
          <t>Card Games</t>
        </is>
      </c>
      <c r="E47" s="3" t="n">
        <v>34.99</v>
      </c>
      <c r="F47" s="3" t="n">
        <v>20.5</v>
      </c>
      <c r="G47" s="2" t="n">
        <v>3</v>
      </c>
      <c r="H47" s="5" t="n"/>
      <c r="I47" s="3">
        <f>F47*IF(H47="",G47,H47)</f>
        <v/>
      </c>
      <c r="J47" s="2" t="inlineStr">
        <is>
          <t>11/13/2026</t>
        </is>
      </c>
      <c r="K47" s="2" t="inlineStr">
        <is>
          <t>09/30/2026</t>
        </is>
      </c>
      <c r="L47" s="2" t="inlineStr">
        <is>
          <t>195166336671</t>
        </is>
      </c>
    </row>
    <row r="48">
      <c r="A48" s="2" t="inlineStr">
        <is>
          <t>WOCD5900</t>
        </is>
      </c>
      <c r="B48" s="2" t="inlineStr">
        <is>
          <t>MAGIC THE GATHERING: TRK STAR TREK COLLECTOR COMMANDER (4CT)</t>
        </is>
      </c>
      <c r="C48" s="2" t="inlineStr">
        <is>
          <t>WIZARDS OF THE COAST</t>
        </is>
      </c>
      <c r="D48" s="2" t="inlineStr">
        <is>
          <t>Card Games</t>
        </is>
      </c>
      <c r="E48" s="3" t="n">
        <v>639.96</v>
      </c>
      <c r="F48" s="3" t="n">
        <v>398.65</v>
      </c>
      <c r="G48" s="2" t="n">
        <v>3</v>
      </c>
      <c r="H48" s="5" t="n"/>
      <c r="I48" s="3">
        <f>F48*IF(H48="",G48,H48)</f>
        <v/>
      </c>
      <c r="J48" s="2" t="inlineStr">
        <is>
          <t>11/13/2026</t>
        </is>
      </c>
      <c r="K48" s="2" t="inlineStr">
        <is>
          <t>09/30/2026</t>
        </is>
      </c>
      <c r="L48" s="2" t="inlineStr">
        <is>
          <t>195166336015</t>
        </is>
      </c>
    </row>
    <row r="49">
      <c r="A49" s="2" t="inlineStr">
        <is>
          <t>WOCD5894</t>
        </is>
      </c>
      <c r="B49" s="2" t="inlineStr">
        <is>
          <t>MAGIC THE GATHERING: TRK STAR TREK PLAY BOOSTER (30CT)</t>
        </is>
      </c>
      <c r="C49" s="2" t="inlineStr">
        <is>
          <t>WIZARDS OF THE COAST</t>
        </is>
      </c>
      <c r="D49" s="2" t="inlineStr">
        <is>
          <t>Card Games</t>
        </is>
      </c>
      <c r="E49" s="3" t="n">
        <v>209.7</v>
      </c>
      <c r="F49" s="3" t="n">
        <v>123.15</v>
      </c>
      <c r="G49" s="2" t="n">
        <v>3</v>
      </c>
      <c r="H49" s="5" t="n"/>
      <c r="I49" s="3">
        <f>F49*IF(H49="",G49,H49)</f>
        <v/>
      </c>
      <c r="J49" s="2" t="inlineStr">
        <is>
          <t>11/13/2026</t>
        </is>
      </c>
      <c r="K49" s="2" t="inlineStr">
        <is>
          <t>09/30/2026</t>
        </is>
      </c>
      <c r="L49" s="2" t="inlineStr">
        <is>
          <t>195166333526</t>
        </is>
      </c>
    </row>
    <row r="50">
      <c r="A50" s="2" t="inlineStr">
        <is>
          <t>WOCD5901</t>
        </is>
      </c>
      <c r="B50" s="2" t="inlineStr">
        <is>
          <t>MAGIC THE GATHERING: TRK STAR TREK BEAM ME UP BUNDLE</t>
        </is>
      </c>
      <c r="C50" s="2" t="inlineStr">
        <is>
          <t>WIZARDS OF THE COAST</t>
        </is>
      </c>
      <c r="D50" s="2" t="inlineStr">
        <is>
          <t>Card Games</t>
        </is>
      </c>
      <c r="E50" s="3" t="n">
        <v>99.98999999999999</v>
      </c>
      <c r="F50" s="3" t="n">
        <v>66.25</v>
      </c>
      <c r="G50" s="2" t="n">
        <v>3</v>
      </c>
      <c r="H50" s="5" t="n"/>
      <c r="I50" s="3">
        <f>F50*IF(H50="",G50,H50)</f>
        <v/>
      </c>
      <c r="J50" s="2" t="inlineStr">
        <is>
          <t>11/13/2026</t>
        </is>
      </c>
      <c r="K50" s="2" t="inlineStr">
        <is>
          <t>09/30/2026</t>
        </is>
      </c>
      <c r="L50" s="2" t="inlineStr">
        <is>
          <t>195166334318</t>
        </is>
      </c>
    </row>
    <row r="51">
      <c r="A51" s="2" t="inlineStr">
        <is>
          <t>WOCD5906</t>
        </is>
      </c>
      <c r="B51" s="2" t="inlineStr">
        <is>
          <t>MAGIC THE GATHERING: TRK STAR TREK DRAFT NIGHT</t>
        </is>
      </c>
      <c r="C51" s="2" t="inlineStr">
        <is>
          <t>WIZARDS OF THE COAST</t>
        </is>
      </c>
      <c r="D51" s="2" t="inlineStr">
        <is>
          <t>Card Games</t>
        </is>
      </c>
      <c r="E51" s="3" t="n">
        <v>119.991</v>
      </c>
      <c r="F51" s="3" t="n">
        <v>79.2</v>
      </c>
      <c r="G51" s="2" t="n">
        <v>3</v>
      </c>
      <c r="H51" s="5" t="n"/>
      <c r="I51" s="3">
        <f>F51*IF(H51="",G51,H51)</f>
        <v/>
      </c>
      <c r="J51" s="2" t="inlineStr">
        <is>
          <t>11/13/2026</t>
        </is>
      </c>
      <c r="K51" s="2" t="inlineStr">
        <is>
          <t>09/30/2026</t>
        </is>
      </c>
      <c r="L51" s="2" t="inlineStr">
        <is>
          <t>195166336657</t>
        </is>
      </c>
    </row>
    <row r="52">
      <c r="A52" s="2" t="inlineStr">
        <is>
          <t>WOCD5896</t>
        </is>
      </c>
      <c r="B52" s="2" t="inlineStr">
        <is>
          <t>MAGIC THE GATHERING: TRK STAR TREK COLLECTOR BOOSTER (12CT)</t>
        </is>
      </c>
      <c r="C52" s="2" t="inlineStr">
        <is>
          <t>WIZARDS OF THE COAST</t>
        </is>
      </c>
      <c r="D52" s="2" t="inlineStr">
        <is>
          <t>Card Games</t>
        </is>
      </c>
      <c r="E52" s="3" t="n">
        <v>455.88</v>
      </c>
      <c r="F52" s="3" t="n">
        <v>295.45</v>
      </c>
      <c r="G52" s="2" t="n">
        <v>3</v>
      </c>
      <c r="H52" s="5" t="n"/>
      <c r="I52" s="3">
        <f>F52*IF(H52="",G52,H52)</f>
        <v/>
      </c>
      <c r="J52" s="2" t="inlineStr">
        <is>
          <t>11/13/2026</t>
        </is>
      </c>
      <c r="K52" s="2" t="inlineStr">
        <is>
          <t>09/30/2026</t>
        </is>
      </c>
      <c r="L52" s="2" t="inlineStr">
        <is>
          <t>195166334103</t>
        </is>
      </c>
    </row>
    <row r="53">
      <c r="A53" s="2" t="inlineStr">
        <is>
          <t>WOCD5902</t>
        </is>
      </c>
      <c r="B53" s="2" t="inlineStr">
        <is>
          <t>MAGIC THE GATHERING: TRK STAR TREK BUNDLE</t>
        </is>
      </c>
      <c r="C53" s="2" t="inlineStr">
        <is>
          <t>WIZARDS OF THE COAST</t>
        </is>
      </c>
      <c r="D53" s="2" t="inlineStr">
        <is>
          <t>Card Games</t>
        </is>
      </c>
      <c r="E53" s="3" t="n">
        <v>69.98999999999999</v>
      </c>
      <c r="F53" s="3" t="n">
        <v>42.8</v>
      </c>
      <c r="G53" s="2" t="n">
        <v>3</v>
      </c>
      <c r="H53" s="5" t="n"/>
      <c r="I53" s="3">
        <f>F53*IF(H53="",G53,H53)</f>
        <v/>
      </c>
      <c r="J53" s="2" t="inlineStr">
        <is>
          <t>11/13/2026</t>
        </is>
      </c>
      <c r="K53" s="2" t="inlineStr">
        <is>
          <t>09/30/2026</t>
        </is>
      </c>
      <c r="L53" s="2" t="inlineStr">
        <is>
          <t>195166334356</t>
        </is>
      </c>
    </row>
    <row r="54">
      <c r="A54" s="2" t="inlineStr">
        <is>
          <t>RAV13000011</t>
        </is>
      </c>
      <c r="B54" s="2" t="inlineStr">
        <is>
          <t>DISNEY LORCANA: OFFICIAL COLLECTOR'S GUIDE: SETS 9-13</t>
        </is>
      </c>
      <c r="C54" s="2" t="inlineStr">
        <is>
          <t>RAVENSBURGER</t>
        </is>
      </c>
      <c r="D54" s="2" t="inlineStr">
        <is>
          <t>Card Games</t>
        </is>
      </c>
      <c r="E54" s="3" t="n">
        <v>19.99</v>
      </c>
      <c r="F54" s="3" t="n">
        <v>11.25</v>
      </c>
      <c r="G54" s="2" t="n">
        <v>3</v>
      </c>
      <c r="H54" s="5" t="n"/>
      <c r="I54" s="3">
        <f>F54*IF(H54="",G54,H54)</f>
        <v/>
      </c>
      <c r="J54" s="2" t="inlineStr">
        <is>
          <t>11/01/2026</t>
        </is>
      </c>
      <c r="K54" s="2" t="inlineStr">
        <is>
          <t>10/14/2026</t>
        </is>
      </c>
      <c r="L54" s="2" t="inlineStr">
        <is>
          <t>9783380000112</t>
        </is>
      </c>
    </row>
  </sheetData>
  <autoFilter ref="A1:L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2026-08-09T18:08:24Z</dcterms:created>
  <dcterms:modified xsi:type="dcterms:W3CDTF">2026-08-09T18:08:44Z</dcterms:modified>
</cp:coreProperties>
</file>